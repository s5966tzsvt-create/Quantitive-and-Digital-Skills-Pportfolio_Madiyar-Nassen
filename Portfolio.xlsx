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.Lib1346.000\Downloads\"/>
    </mc:Choice>
  </mc:AlternateContent>
  <bookViews>
    <workbookView xWindow="0" yWindow="0" windowWidth="16380" windowHeight="8190" tabRatio="500" activeTab="2"/>
  </bookViews>
  <sheets>
    <sheet name="co1" sheetId="1" r:id="rId1"/>
    <sheet name="co2" sheetId="2" r:id="rId2"/>
    <sheet name="returns" sheetId="3" r:id="rId3"/>
    <sheet name="descr" sheetId="4" r:id="rId4"/>
    <sheet name="var dev" sheetId="5" r:id="rId5"/>
    <sheet name="cvar" sheetId="6" r:id="rId6"/>
    <sheet name="z outliers" sheetId="7" r:id="rId7"/>
    <sheet name="cov" sheetId="8" r:id="rId8"/>
    <sheet name="sharpe" sheetId="9" r:id="rId9"/>
    <sheet name="synopsis" sheetId="10" r:id="rId10"/>
    <sheet name="charts" sheetId="11" r:id="rId1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9" i="8" l="1"/>
  <c r="C66" i="7"/>
  <c r="B66" i="7"/>
  <c r="G60" i="3"/>
  <c r="F60" i="3"/>
  <c r="E60" i="3"/>
  <c r="D60" i="3"/>
  <c r="G59" i="3"/>
  <c r="F59" i="3"/>
  <c r="E59" i="3"/>
  <c r="D59" i="3"/>
  <c r="G58" i="3"/>
  <c r="F58" i="3"/>
  <c r="E58" i="3"/>
  <c r="D58" i="3"/>
  <c r="G57" i="3"/>
  <c r="F57" i="3"/>
  <c r="E57" i="3"/>
  <c r="D57" i="3"/>
  <c r="G56" i="3"/>
  <c r="F56" i="3"/>
  <c r="E56" i="3"/>
  <c r="D56" i="3"/>
  <c r="G55" i="3"/>
  <c r="F55" i="3"/>
  <c r="E55" i="3"/>
  <c r="D55" i="3"/>
  <c r="G54" i="3"/>
  <c r="F54" i="3"/>
  <c r="E54" i="3"/>
  <c r="D54" i="3"/>
  <c r="G53" i="3"/>
  <c r="F53" i="3"/>
  <c r="E53" i="3"/>
  <c r="D53" i="3"/>
  <c r="G52" i="3"/>
  <c r="F52" i="3"/>
  <c r="E52" i="3"/>
  <c r="D52" i="3"/>
  <c r="G51" i="3"/>
  <c r="F51" i="3"/>
  <c r="E51" i="3"/>
  <c r="D51" i="3"/>
  <c r="G50" i="3"/>
  <c r="F50" i="3"/>
  <c r="E50" i="3"/>
  <c r="D50" i="3"/>
  <c r="G49" i="3"/>
  <c r="F49" i="3"/>
  <c r="E49" i="3"/>
  <c r="D49" i="3"/>
  <c r="G48" i="3"/>
  <c r="F48" i="3"/>
  <c r="E48" i="3"/>
  <c r="D48" i="3"/>
  <c r="G47" i="3"/>
  <c r="F47" i="3"/>
  <c r="E47" i="3"/>
  <c r="D47" i="3"/>
  <c r="G46" i="3"/>
  <c r="F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E38" i="3"/>
  <c r="D38" i="3"/>
  <c r="G37" i="3"/>
  <c r="F37" i="3"/>
  <c r="E37" i="3"/>
  <c r="D37" i="3"/>
  <c r="G36" i="3"/>
  <c r="F36" i="3"/>
  <c r="E36" i="3"/>
  <c r="D36" i="3"/>
  <c r="G35" i="3"/>
  <c r="F35" i="3"/>
  <c r="E35" i="3"/>
  <c r="D35" i="3"/>
  <c r="G34" i="3"/>
  <c r="F34" i="3"/>
  <c r="E34" i="3"/>
  <c r="D34" i="3"/>
  <c r="G33" i="3"/>
  <c r="F33" i="3"/>
  <c r="E33" i="3"/>
  <c r="D33" i="3"/>
  <c r="G32" i="3"/>
  <c r="F32" i="3"/>
  <c r="E32" i="3"/>
  <c r="D32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F28" i="3"/>
  <c r="E28" i="3"/>
  <c r="D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</calcChain>
</file>

<file path=xl/sharedStrings.xml><?xml version="1.0" encoding="utf-8"?>
<sst xmlns="http://schemas.openxmlformats.org/spreadsheetml/2006/main" count="547" uniqueCount="170">
  <si>
    <t>Alphabet Inc. (GOOGL) – Daily Historical Prices  |  Source: finance.yahoo.com</t>
  </si>
  <si>
    <t>Date</t>
  </si>
  <si>
    <t>Open</t>
  </si>
  <si>
    <t>High</t>
  </si>
  <si>
    <t>Low</t>
  </si>
  <si>
    <t>Close</t>
  </si>
  <si>
    <t>Adj Close</t>
  </si>
  <si>
    <t>Volume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</si>
  <si>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</si>
  <si>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</si>
  <si>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</si>
  <si>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</si>
  <si>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</si>
  <si>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</si>
  <si>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</si>
  <si>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</si>
  <si>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</si>
  <si>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</si>
  <si>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</si>
  <si>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</si>
  <si>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</si>
  <si>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</si>
  <si>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</si>
  <si>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</si>
  <si>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</si>
  <si>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</si>
  <si>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</si>
  <si>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</si>
  <si>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</si>
  <si>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</si>
  <si>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</si>
  <si>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</si>
  <si>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</si>
  <si>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</si>
  <si>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</si>
  <si>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</si>
  <si>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</si>
  <si>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</si>
  <si>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</si>
  <si>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</si>
  <si>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</si>
  <si>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</si>
  <si>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</si>
  <si>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</si>
  <si>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</si>
  <si>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</si>
  <si>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</si>
  <si>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</si>
  <si>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</si>
  <si>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26/12/2024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</si>
  <si>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</si>
  <si>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</si>
  <si>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</si>
  <si>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</si>
  <si>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</si>
  <si>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</si>
  <si>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</si>
  <si>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</si>
  <si>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</si>
  <si>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</si>
  <si>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</si>
  <si>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</si>
  <si>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</si>
  <si>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</si>
  <si>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</si>
  <si>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</si>
  <si>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Meta Platforms Inc. (META) – Daily Historical Prices  |  Source: finance.yahoo.com</t>
  </si>
  <si>
    <t>Daily Returns – GOOGL vs META  (Arithmetic &amp; Geometric)</t>
  </si>
  <si>
    <t>GOOGL Adj Close</t>
  </si>
  <si>
    <t>META Adj Close</t>
  </si>
  <si>
    <t>GOOGL Arithmetic Return</t>
  </si>
  <si>
    <t>META Arithmetic Return</t>
  </si>
  <si>
    <t>GOOGL Geometric Return</t>
  </si>
  <si>
    <t>META Geometric Return</t>
  </si>
  <si>
    <t>N/A</t>
  </si>
  <si>
    <t>Descriptive Statistics – GOOGL vs META Daily Returns</t>
  </si>
  <si>
    <t>Statistic</t>
  </si>
  <si>
    <t>GOOGL</t>
  </si>
  <si>
    <t>META</t>
  </si>
  <si>
    <t>Max (Best Day)</t>
  </si>
  <si>
    <t>Min (Worst Day)</t>
  </si>
  <si>
    <t>Range (Max - Min)</t>
  </si>
  <si>
    <t>Q1 (25th Percentile)</t>
  </si>
  <si>
    <t>Q3 (75th Percentile)</t>
  </si>
  <si>
    <t>IQR (Q3 - Q1)</t>
  </si>
  <si>
    <t>Mean (Average Return)</t>
  </si>
  <si>
    <t>Mean Absolute Deviation</t>
  </si>
  <si>
    <t>Sample Variance</t>
  </si>
  <si>
    <t>Sample Std Dev (Volatility)</t>
  </si>
  <si>
    <t>Upper Fence (Q3+1.5*IQR)</t>
  </si>
  <si>
    <t>Lower Fence (Q1-1.5*IQR)</t>
  </si>
  <si>
    <t>Variance &amp; Deviation Analysis – GOOGL vs META</t>
  </si>
  <si>
    <t>Metric</t>
  </si>
  <si>
    <t>Interpretation</t>
  </si>
  <si>
    <t>Mean Return</t>
  </si>
  <si>
    <t>Average daily return</t>
  </si>
  <si>
    <t>Mean Abs Deviation</t>
  </si>
  <si>
    <t>Avg distance from mean (ignoring sign)</t>
  </si>
  <si>
    <t>Squared deviations – penalises outliers</t>
  </si>
  <si>
    <t>Sample Std Dev</t>
  </si>
  <si>
    <t>Volatility – standard risk measure</t>
  </si>
  <si>
    <t>Note: Std Dev of GOOGL vs META reveals which stock carries more daily risk.</t>
  </si>
  <si>
    <t>Coefficient of Variation (CV) – GOOGL vs META</t>
  </si>
  <si>
    <t>Risk (volatility)</t>
  </si>
  <si>
    <t>CV = Std Dev / Mean</t>
  </si>
  <si>
    <t>Risk per unit of return – lower is better</t>
  </si>
  <si>
    <t>Interpretation: CV measures risk per unit of return. A lower CV indicates more efficient risk-return trade-off.</t>
  </si>
  <si>
    <t>Z-Score Outlier Analysis – GOOGL vs META</t>
  </si>
  <si>
    <t>GOOGL Return</t>
  </si>
  <si>
    <t>META Return</t>
  </si>
  <si>
    <t>GOOGL Z-Score</t>
  </si>
  <si>
    <t>META Z-Score</t>
  </si>
  <si>
    <t>GOOGL Outlier?</t>
  </si>
  <si>
    <t>META Outlier?</t>
  </si>
  <si>
    <t>Normal</t>
  </si>
  <si>
    <t>OUTLIER</t>
  </si>
  <si>
    <t>Z-Score Summary</t>
  </si>
  <si>
    <t>Z Min</t>
  </si>
  <si>
    <t>Z Max</t>
  </si>
  <si>
    <t>Outliers (|Z|&gt;3)</t>
  </si>
  <si>
    <t>Covariance &amp; Correlation – GOOGL vs META</t>
  </si>
  <si>
    <t>Dev GOOGL (x-x̄)</t>
  </si>
  <si>
    <t>Dev META (y-ȳ)</t>
  </si>
  <si>
    <t>Product (dev_G × dev_M)</t>
  </si>
  <si>
    <t>Results</t>
  </si>
  <si>
    <t>Value</t>
  </si>
  <si>
    <t>Sample Covariance (manual)</t>
  </si>
  <si>
    <t>Manual: Σ(dev_G × dev_M)/(n-1)</t>
  </si>
  <si>
    <t>Sample Covariance (Excel)</t>
  </si>
  <si>
    <t>Std Dev GOOGL</t>
  </si>
  <si>
    <t>σ of GOOGL returns</t>
  </si>
  <si>
    <t>Std Dev META</t>
  </si>
  <si>
    <t>σ of META returns</t>
  </si>
  <si>
    <t>Correlation (manual)</t>
  </si>
  <si>
    <t>Cov / (σ_G × σ_M)</t>
  </si>
  <si>
    <t>Correlation (Excel)</t>
  </si>
  <si>
    <t>Sharpe Ratio Analysis – GOOGL vs META</t>
  </si>
  <si>
    <t>Notes</t>
  </si>
  <si>
    <t>Risk-Free Rate (Annual T-bill)</t>
  </si>
  <si>
    <t>U.S. 1-Year T-bill rate, 2024 avg ~5.25%</t>
  </si>
  <si>
    <t>Daily Risk-Free Rate</t>
  </si>
  <si>
    <t>Annual rate ÷ 252 trading days</t>
  </si>
  <si>
    <t>Mean Daily Return</t>
  </si>
  <si>
    <t>AVERAGE of daily returns</t>
  </si>
  <si>
    <t>Daily Std Dev</t>
  </si>
  <si>
    <t>STDEV.S of daily returns</t>
  </si>
  <si>
    <t>Sharpe Ratio (daily)</t>
  </si>
  <si>
    <t>(Mean Return - Rf) / Std Dev</t>
  </si>
  <si>
    <t>Annualised Sharpe</t>
  </si>
  <si>
    <t>Daily Sharpe × √252</t>
  </si>
  <si>
    <t>Interpretation: A higher Sharpe Ratio indicates better risk-adjusted return. The Sharpe Ratio was developed by Nobel laureate William F. Sharpe.</t>
  </si>
  <si>
    <t>Synopsis – Portfolio &amp; Investment Analysis: GOOGL vs META (2024/2025)</t>
  </si>
  <si>
    <t>Starting Price</t>
  </si>
  <si>
    <t>Ending Price</t>
  </si>
  <si>
    <t>Total Return</t>
  </si>
  <si>
    <t>Daily Volatility</t>
  </si>
  <si>
    <t>CV</t>
  </si>
  <si>
    <t>Sharpe Ratio (ann)</t>
  </si>
  <si>
    <t>Correlation</t>
  </si>
  <si>
    <t>—</t>
  </si>
  <si>
    <t>Written Synopsis</t>
  </si>
  <si>
    <t>This analysis examines the daily risk-return profile of Alphabet Inc. (GOOGL) and Meta Platforms Inc. (META) using daily adjusted closing price data sourced from Yahoo Finance (October 2024 – January 2025).</t>
  </si>
  <si>
    <t>RETURN: Both stocks delivered positive cumulative returns over the period. Using arithmetic and geometric return methods (as per Chapter 3 of the textbook), daily returns were calculated and compared.</t>
  </si>
  <si>
    <t>RISK: META exhibited higher daily volatility (standard deviation) than GOOGL, consistent with the textbook principle that higher potential reward is associated with higher risk (Brealey, Myers &amp; Allen).</t>
  </si>
  <si>
    <t>COEFFICIENT OF VARIATION: The CV (Std Dev ÷ Mean) was calculated for both stocks. A lower CV indicates more efficient risk-return performance.</t>
  </si>
  <si>
    <t>OUTLIERS: Z-scores were computed for each daily return. Data points with |Z| &gt; 3 are flagged as outliers and reviewed for data integrity.</t>
  </si>
  <si>
    <t>COVARIANCE &amp; CORRELATION: The sample covariance and correlation were calculated both manually (Σ dev_G × dev_M / n-1) and using Excel's COVARIANCE.S and CORREL functions. The correlation indicates the degree of co-movement between the two stocks.</t>
  </si>
  <si>
    <t>SHARPE RATIO: Using a risk-free rate of 5.25% (U.S. 1-Year T-bill, 2024), the annualised Sharpe Ratio was calculated as (Mean Return – Rf) / Std Dev × √252. A higher Sharpe Ratio indicates superior risk-adjusted performance.</t>
  </si>
  <si>
    <t>CONCLUSION: Based on this analysis, the stock offering the higher annualised Sharpe Ratio provides greater return per unit of risk, and may be preferred by a risk-conscious investor seeking efficient exposure to large-cap technology equities.</t>
  </si>
  <si>
    <t>Visual Analysis – Price &amp; Return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</si>
</sst>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$#,##0.00"/>
    <numFmt numFmtId="165" formatCode="0.0000%"/>
    <numFmt numFmtId="166" formatCode="0.000000"/>
    <numFmt numFmtId="167" formatCode="0.0000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2E75B6"/>
      <name val="Arial"/>
      <charset val="1"/>
    </font>
    <font>
      <sz val="10"/>
      <color rgb="FF2E75B6"/>
      <name val="Arial"/>
      <charset val="1"/>
    </font>
    <font>
      <b/>
      <sz val="11"/>
      <color rgb="FF2E75B6"/>
      <name val="Arial"/>
      <charset val="1"/>
    </font>
    <font>
      <sz val="10"/>
      <color rgb="FF0000FF"/>
      <name val="Arial"/>
      <charset val="1"/>
    </font>
    <font>
      <b/>
      <sz val="12"/>
      <color rgb="FF2E75B6"/>
      <name val="Arial"/>
      <charset val="1"/>
    </font>
    <font>
      <sz val="9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E2EFDA"/>
      </patternFill>
    </fill>
    <fill>
      <patternFill patternType="solid">
        <fgColor rgb="FFE2EFDA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/>
    <xf numFmtId="10" fontId="3" fillId="5" borderId="1" xfId="0" applyNumberFormat="1" applyFont="1" applyFill="1" applyBorder="1" applyAlignment="1"/>
    <xf numFmtId="10" fontId="3" fillId="4" borderId="1" xfId="0" applyNumberFormat="1" applyFont="1" applyFill="1" applyBorder="1" applyAlignment="1"/>
    <xf numFmtId="0" fontId="4" fillId="6" borderId="1" xfId="0" applyFont="1" applyFill="1" applyBorder="1" applyAlignment="1"/>
    <xf numFmtId="165" fontId="3" fillId="6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/>
    <xf numFmtId="165" fontId="3" fillId="5" borderId="1" xfId="0" applyNumberFormat="1" applyFont="1" applyFill="1" applyBorder="1" applyAlignment="1">
      <alignment horizontal="left" vertical="center"/>
    </xf>
    <xf numFmtId="166" fontId="3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/>
    <xf numFmtId="0" fontId="3" fillId="5" borderId="1" xfId="0" applyFont="1" applyFill="1" applyBorder="1" applyAlignment="1"/>
    <xf numFmtId="0" fontId="5" fillId="0" borderId="0" xfId="0" applyFont="1" applyAlignment="1"/>
    <xf numFmtId="2" fontId="3" fillId="6" borderId="1" xfId="0" applyNumberFormat="1" applyFont="1" applyFill="1" applyBorder="1" applyAlignment="1">
      <alignment horizontal="left" vertical="center"/>
    </xf>
    <xf numFmtId="0" fontId="6" fillId="0" borderId="0" xfId="0" applyFont="1" applyAlignment="1"/>
    <xf numFmtId="2" fontId="3" fillId="4" borderId="1" xfId="0" applyNumberFormat="1" applyFont="1" applyFill="1" applyBorder="1" applyAlignment="1"/>
    <xf numFmtId="0" fontId="3" fillId="4" borderId="1" xfId="0" applyFont="1" applyFill="1" applyBorder="1" applyAlignment="1"/>
    <xf numFmtId="2" fontId="3" fillId="5" borderId="1" xfId="0" applyNumberFormat="1" applyFont="1" applyFill="1" applyBorder="1" applyAlignment="1"/>
    <xf numFmtId="0" fontId="7" fillId="0" borderId="0" xfId="0" applyFont="1" applyAlignment="1"/>
    <xf numFmtId="2" fontId="2" fillId="3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/>
    <xf numFmtId="166" fontId="3" fillId="4" borderId="1" xfId="0" applyNumberFormat="1" applyFont="1" applyFill="1" applyBorder="1" applyAlignment="1"/>
    <xf numFmtId="165" fontId="3" fillId="5" borderId="1" xfId="0" applyNumberFormat="1" applyFont="1" applyFill="1" applyBorder="1" applyAlignment="1"/>
    <xf numFmtId="166" fontId="3" fillId="5" borderId="1" xfId="0" applyNumberFormat="1" applyFont="1" applyFill="1" applyBorder="1" applyAlignment="1"/>
    <xf numFmtId="166" fontId="2" fillId="3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/>
    <xf numFmtId="167" fontId="3" fillId="6" borderId="1" xfId="0" applyNumberFormat="1" applyFont="1" applyFill="1" applyBorder="1" applyAlignment="1"/>
    <xf numFmtId="167" fontId="3" fillId="5" borderId="1" xfId="0" applyNumberFormat="1" applyFont="1" applyFill="1" applyBorder="1" applyAlignment="1"/>
    <xf numFmtId="166" fontId="3" fillId="6" borderId="1" xfId="0" applyNumberFormat="1" applyFont="1" applyFill="1" applyBorder="1" applyAlignment="1"/>
    <xf numFmtId="0" fontId="4" fillId="0" borderId="0" xfId="0" applyFont="1" applyAlignment="1"/>
    <xf numFmtId="10" fontId="8" fillId="0" borderId="0" xfId="0" applyNumberFormat="1" applyFont="1" applyAlignment="1"/>
    <xf numFmtId="165" fontId="0" fillId="0" borderId="0" xfId="0" applyNumberFormat="1" applyAlignment="1"/>
    <xf numFmtId="167" fontId="3" fillId="6" borderId="1" xfId="0" applyNumberFormat="1" applyFont="1" applyFill="1" applyBorder="1" applyAlignment="1">
      <alignment horizontal="left" vertical="center"/>
    </xf>
    <xf numFmtId="167" fontId="3" fillId="5" borderId="1" xfId="0" applyNumberFormat="1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left" vertical="center"/>
    </xf>
    <xf numFmtId="10" fontId="3" fillId="6" borderId="1" xfId="0" applyNumberFormat="1" applyFont="1" applyFill="1" applyBorder="1" applyAlignment="1">
      <alignment horizontal="left" vertical="center"/>
    </xf>
    <xf numFmtId="10" fontId="3" fillId="5" borderId="1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9" fillId="0" borderId="0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f-ZA" sz="1800" b="1" strike="noStrike" spc="-1">
                <a:solidFill>
                  <a:srgbClr val="000000"/>
                </a:solidFill>
                <a:latin typeface="Calibri"/>
              </a:rPr>
              <a:t>GOOGL vs META – Daily Adj Close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'co1'!$F$2</c:f>
              <c:strCache>
                <c:ptCount val="1"/>
                <c:pt idx="0">
                  <c:v>Adj Close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'co1'!$F$3:$F$60</c:f>
              <c:numCache>
                <c:formatCode>\$#\ ##0.00</c:formatCode>
                <c:ptCount val="58"/>
                <c:pt idx="0">
                  <c:v>174.81</c:v>
                </c:pt>
                <c:pt idx="1">
                  <c:v>174.95</c:v>
                </c:pt>
                <c:pt idx="2">
                  <c:v>172.95</c:v>
                </c:pt>
                <c:pt idx="3">
                  <c:v>172.96</c:v>
                </c:pt>
                <c:pt idx="4">
                  <c:v>172.62</c:v>
                </c:pt>
                <c:pt idx="5">
                  <c:v>173.48</c:v>
                </c:pt>
                <c:pt idx="6">
                  <c:v>175.83</c:v>
                </c:pt>
                <c:pt idx="7">
                  <c:v>174.81</c:v>
                </c:pt>
                <c:pt idx="8">
                  <c:v>177.5</c:v>
                </c:pt>
                <c:pt idx="9">
                  <c:v>178.64</c:v>
                </c:pt>
                <c:pt idx="10">
                  <c:v>180.78</c:v>
                </c:pt>
                <c:pt idx="11">
                  <c:v>180.09</c:v>
                </c:pt>
                <c:pt idx="12">
                  <c:v>177.39</c:v>
                </c:pt>
                <c:pt idx="13">
                  <c:v>177.88</c:v>
                </c:pt>
                <c:pt idx="14">
                  <c:v>176.55</c:v>
                </c:pt>
                <c:pt idx="15">
                  <c:v>178</c:v>
                </c:pt>
                <c:pt idx="16">
                  <c:v>178.87</c:v>
                </c:pt>
                <c:pt idx="17">
                  <c:v>180.6</c:v>
                </c:pt>
                <c:pt idx="18">
                  <c:v>181.94</c:v>
                </c:pt>
                <c:pt idx="19">
                  <c:v>184.78</c:v>
                </c:pt>
                <c:pt idx="20">
                  <c:v>186.35</c:v>
                </c:pt>
                <c:pt idx="21">
                  <c:v>186.49</c:v>
                </c:pt>
                <c:pt idx="22">
                  <c:v>186.99</c:v>
                </c:pt>
                <c:pt idx="23">
                  <c:v>186.72</c:v>
                </c:pt>
                <c:pt idx="24">
                  <c:v>183.89</c:v>
                </c:pt>
                <c:pt idx="25">
                  <c:v>184.23</c:v>
                </c:pt>
                <c:pt idx="26">
                  <c:v>185.22</c:v>
                </c:pt>
                <c:pt idx="27">
                  <c:v>186.29</c:v>
                </c:pt>
                <c:pt idx="28">
                  <c:v>188.24</c:v>
                </c:pt>
                <c:pt idx="29">
                  <c:v>189.86</c:v>
                </c:pt>
                <c:pt idx="30">
                  <c:v>190.14</c:v>
                </c:pt>
                <c:pt idx="31">
                  <c:v>191.88</c:v>
                </c:pt>
                <c:pt idx="32">
                  <c:v>192.08</c:v>
                </c:pt>
                <c:pt idx="33">
                  <c:v>193.56</c:v>
                </c:pt>
                <c:pt idx="34">
                  <c:v>195.82</c:v>
                </c:pt>
                <c:pt idx="35">
                  <c:v>191.95</c:v>
                </c:pt>
                <c:pt idx="36">
                  <c:v>192.58</c:v>
                </c:pt>
                <c:pt idx="37">
                  <c:v>186.29</c:v>
                </c:pt>
                <c:pt idx="38">
                  <c:v>183.73</c:v>
                </c:pt>
                <c:pt idx="39">
                  <c:v>183.35</c:v>
                </c:pt>
                <c:pt idx="40">
                  <c:v>184.19</c:v>
                </c:pt>
                <c:pt idx="41">
                  <c:v>185.51</c:v>
                </c:pt>
                <c:pt idx="42">
                  <c:v>186.32</c:v>
                </c:pt>
                <c:pt idx="43">
                  <c:v>183.46</c:v>
                </c:pt>
                <c:pt idx="44">
                  <c:v>180.68</c:v>
                </c:pt>
                <c:pt idx="45">
                  <c:v>180.93</c:v>
                </c:pt>
                <c:pt idx="46">
                  <c:v>182.11</c:v>
                </c:pt>
                <c:pt idx="47">
                  <c:v>185.96</c:v>
                </c:pt>
                <c:pt idx="48">
                  <c:v>188.37</c:v>
                </c:pt>
                <c:pt idx="49">
                  <c:v>189.72</c:v>
                </c:pt>
                <c:pt idx="50">
                  <c:v>185.86</c:v>
                </c:pt>
                <c:pt idx="51">
                  <c:v>190.25</c:v>
                </c:pt>
                <c:pt idx="52">
                  <c:v>191.55</c:v>
                </c:pt>
                <c:pt idx="53">
                  <c:v>192.3</c:v>
                </c:pt>
                <c:pt idx="54">
                  <c:v>196.1</c:v>
                </c:pt>
                <c:pt idx="55">
                  <c:v>197.35</c:v>
                </c:pt>
                <c:pt idx="56">
                  <c:v>198.55</c:v>
                </c:pt>
                <c:pt idx="57">
                  <c:v>200.43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15-4041-95C4-0E12A40BB932}"/>
            </c:ext>
          </c:extLst>
        </c:ser>
        <c:ser>
          <c:idx val="1"/>
          <c:order val="1"/>
          <c:tx>
            <c:strRef>
              <c:f>'co2'!$F$2</c:f>
              <c:strCache>
                <c:ptCount val="1"/>
                <c:pt idx="0">
                  <c:v>Adj Close</c:v>
                </c:pt>
              </c:strCache>
            </c:strRef>
          </c:tx>
          <c:spPr>
            <a:ln w="475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'co2'!$F$3:$F$60</c:f>
              <c:numCache>
                <c:formatCode>\$#\ ##0.00</c:formatCode>
                <c:ptCount val="58"/>
                <c:pt idx="0">
                  <c:v>578.09</c:v>
                </c:pt>
                <c:pt idx="1">
                  <c:v>579.89</c:v>
                </c:pt>
                <c:pt idx="2">
                  <c:v>576.78</c:v>
                </c:pt>
                <c:pt idx="3">
                  <c:v>582.35</c:v>
                </c:pt>
                <c:pt idx="4">
                  <c:v>584.42999999999995</c:v>
                </c:pt>
                <c:pt idx="5">
                  <c:v>587.5</c:v>
                </c:pt>
                <c:pt idx="6">
                  <c:v>592.30999999999995</c:v>
                </c:pt>
                <c:pt idx="7">
                  <c:v>607.82000000000005</c:v>
                </c:pt>
                <c:pt idx="8">
                  <c:v>622.55999999999995</c:v>
                </c:pt>
                <c:pt idx="9">
                  <c:v>630.24</c:v>
                </c:pt>
                <c:pt idx="10">
                  <c:v>633.72</c:v>
                </c:pt>
                <c:pt idx="11">
                  <c:v>629.14</c:v>
                </c:pt>
                <c:pt idx="12">
                  <c:v>611.84</c:v>
                </c:pt>
                <c:pt idx="13">
                  <c:v>605.26</c:v>
                </c:pt>
                <c:pt idx="14">
                  <c:v>601.64</c:v>
                </c:pt>
                <c:pt idx="15">
                  <c:v>598.44000000000005</c:v>
                </c:pt>
                <c:pt idx="16">
                  <c:v>600.98</c:v>
                </c:pt>
                <c:pt idx="17">
                  <c:v>606.44000000000005</c:v>
                </c:pt>
                <c:pt idx="18">
                  <c:v>612.9</c:v>
                </c:pt>
                <c:pt idx="19">
                  <c:v>618.52</c:v>
                </c:pt>
                <c:pt idx="20">
                  <c:v>625.79999999999995</c:v>
                </c:pt>
                <c:pt idx="21">
                  <c:v>625.38</c:v>
                </c:pt>
                <c:pt idx="22">
                  <c:v>628.79</c:v>
                </c:pt>
                <c:pt idx="23">
                  <c:v>627.29</c:v>
                </c:pt>
                <c:pt idx="24">
                  <c:v>620.53</c:v>
                </c:pt>
                <c:pt idx="25">
                  <c:v>616.42999999999995</c:v>
                </c:pt>
                <c:pt idx="26">
                  <c:v>619.41999999999996</c:v>
                </c:pt>
                <c:pt idx="27">
                  <c:v>622.73</c:v>
                </c:pt>
                <c:pt idx="28">
                  <c:v>629.78</c:v>
                </c:pt>
                <c:pt idx="29">
                  <c:v>636.20000000000005</c:v>
                </c:pt>
                <c:pt idx="30">
                  <c:v>638.63</c:v>
                </c:pt>
                <c:pt idx="31">
                  <c:v>643.71</c:v>
                </c:pt>
                <c:pt idx="32">
                  <c:v>645.84</c:v>
                </c:pt>
                <c:pt idx="33">
                  <c:v>649.22</c:v>
                </c:pt>
                <c:pt idx="34">
                  <c:v>606.86</c:v>
                </c:pt>
                <c:pt idx="35">
                  <c:v>590.54</c:v>
                </c:pt>
                <c:pt idx="36">
                  <c:v>583.47</c:v>
                </c:pt>
                <c:pt idx="37">
                  <c:v>562.89</c:v>
                </c:pt>
                <c:pt idx="38">
                  <c:v>554.37</c:v>
                </c:pt>
                <c:pt idx="39">
                  <c:v>560.82000000000005</c:v>
                </c:pt>
                <c:pt idx="40">
                  <c:v>568.30999999999995</c:v>
                </c:pt>
                <c:pt idx="41">
                  <c:v>577.04</c:v>
                </c:pt>
                <c:pt idx="42">
                  <c:v>582.11</c:v>
                </c:pt>
                <c:pt idx="43">
                  <c:v>569.91</c:v>
                </c:pt>
                <c:pt idx="44">
                  <c:v>557.29999999999995</c:v>
                </c:pt>
                <c:pt idx="45">
                  <c:v>557.48</c:v>
                </c:pt>
                <c:pt idx="46">
                  <c:v>563.07000000000005</c:v>
                </c:pt>
                <c:pt idx="47">
                  <c:v>577.59</c:v>
                </c:pt>
                <c:pt idx="48">
                  <c:v>596.59</c:v>
                </c:pt>
                <c:pt idx="49">
                  <c:v>606.94000000000005</c:v>
                </c:pt>
                <c:pt idx="50">
                  <c:v>590.03</c:v>
                </c:pt>
                <c:pt idx="51">
                  <c:v>614.97</c:v>
                </c:pt>
                <c:pt idx="52">
                  <c:v>626.28</c:v>
                </c:pt>
                <c:pt idx="53">
                  <c:v>634.89</c:v>
                </c:pt>
                <c:pt idx="54">
                  <c:v>644.52</c:v>
                </c:pt>
                <c:pt idx="55">
                  <c:v>656.38</c:v>
                </c:pt>
                <c:pt idx="56">
                  <c:v>662.47</c:v>
                </c:pt>
                <c:pt idx="57">
                  <c:v>675.82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15-4041-95C4-0E12A40BB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912671"/>
        <c:axId val="25117893"/>
      </c:lineChart>
      <c:catAx>
        <c:axId val="42912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f-ZA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17893"/>
        <c:crosses val="autoZero"/>
        <c:auto val="1"/>
        <c:lblAlgn val="ctr"/>
        <c:lblOffset val="100"/>
        <c:noMultiLvlLbl val="0"/>
      </c:catAx>
      <c:valAx>
        <c:axId val="25117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f-ZA" sz="1000" b="1" strike="noStrike" spc="-1">
                    <a:solidFill>
                      <a:srgbClr val="000000"/>
                    </a:solidFill>
                    <a:latin typeface="Calibri"/>
                  </a:rPr>
                  <a:t>Price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12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f-ZA" sz="1800" b="1" strike="noStrike" spc="-1">
                <a:solidFill>
                  <a:srgbClr val="000000"/>
                </a:solidFill>
                <a:latin typeface="Calibri"/>
              </a:rPr>
              <a:t>GOOGL vs META – Daily Arithmetic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returns!$D$2</c:f>
              <c:strCache>
                <c:ptCount val="1"/>
                <c:pt idx="0">
                  <c:v>GOOGL Arithmetic Return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returns!$D$3:$D$60</c:f>
              <c:numCache>
                <c:formatCode>0.00%</c:formatCode>
                <c:ptCount val="58"/>
                <c:pt idx="0" formatCode="General">
                  <c:v>0</c:v>
                </c:pt>
                <c:pt idx="1">
                  <c:v>8.0086951547386504E-4</c:v>
                </c:pt>
                <c:pt idx="2">
                  <c:v>-1.1431837667905117E-2</c:v>
                </c:pt>
                <c:pt idx="3">
                  <c:v>5.7820179242667406E-5</c:v>
                </c:pt>
                <c:pt idx="4">
                  <c:v>-1.9657724329324895E-3</c:v>
                </c:pt>
                <c:pt idx="5">
                  <c:v>4.9820414783917572E-3</c:v>
                </c:pt>
                <c:pt idx="6">
                  <c:v>1.3546230112981455E-2</c:v>
                </c:pt>
                <c:pt idx="7">
                  <c:v>-5.8010578399591093E-3</c:v>
                </c:pt>
                <c:pt idx="8">
                  <c:v>1.5388135690177895E-2</c:v>
                </c:pt>
                <c:pt idx="9">
                  <c:v>6.4225352112675287E-3</c:v>
                </c:pt>
                <c:pt idx="10">
                  <c:v>1.1979399910434476E-2</c:v>
                </c:pt>
                <c:pt idx="11">
                  <c:v>-3.8167938931297583E-3</c:v>
                </c:pt>
                <c:pt idx="12">
                  <c:v>-1.4992503748126031E-2</c:v>
                </c:pt>
                <c:pt idx="13">
                  <c:v>2.7622752128079889E-3</c:v>
                </c:pt>
                <c:pt idx="14">
                  <c:v>-7.4769507533167532E-3</c:v>
                </c:pt>
                <c:pt idx="15">
                  <c:v>8.2129708297931942E-3</c:v>
                </c:pt>
                <c:pt idx="16">
                  <c:v>4.8876404494382275E-3</c:v>
                </c:pt>
                <c:pt idx="17">
                  <c:v>9.6718287024095146E-3</c:v>
                </c:pt>
                <c:pt idx="18">
                  <c:v>7.4197120708748808E-3</c:v>
                </c:pt>
                <c:pt idx="19">
                  <c:v>1.5609541607123247E-2</c:v>
                </c:pt>
                <c:pt idx="20">
                  <c:v>8.4965905401017065E-3</c:v>
                </c:pt>
                <c:pt idx="21">
                  <c:v>7.5127448349887192E-4</c:v>
                </c:pt>
                <c:pt idx="22">
                  <c:v>2.6811089066437876E-3</c:v>
                </c:pt>
                <c:pt idx="23">
                  <c:v>-1.443927482753143E-3</c:v>
                </c:pt>
                <c:pt idx="24">
                  <c:v>-1.5156383890317119E-2</c:v>
                </c:pt>
                <c:pt idx="25">
                  <c:v>1.8489314263962339E-3</c:v>
                </c:pt>
                <c:pt idx="26">
                  <c:v>5.3737176355642896E-3</c:v>
                </c:pt>
                <c:pt idx="27">
                  <c:v>5.7769139401792095E-3</c:v>
                </c:pt>
                <c:pt idx="28">
                  <c:v>1.0467550593161292E-2</c:v>
                </c:pt>
                <c:pt idx="29">
                  <c:v>8.6060348491287953E-3</c:v>
                </c:pt>
                <c:pt idx="30">
                  <c:v>1.4747708838089787E-3</c:v>
                </c:pt>
                <c:pt idx="31">
                  <c:v>9.1511517828968617E-3</c:v>
                </c:pt>
                <c:pt idx="32">
                  <c:v>1.0423181154889361E-3</c:v>
                </c:pt>
                <c:pt idx="33">
                  <c:v>7.7051228654726658E-3</c:v>
                </c:pt>
                <c:pt idx="34">
                  <c:v>1.1675966108700097E-2</c:v>
                </c:pt>
                <c:pt idx="35">
                  <c:v>-1.9763047696864492E-2</c:v>
                </c:pt>
                <c:pt idx="36">
                  <c:v>3.2821047147695956E-3</c:v>
                </c:pt>
                <c:pt idx="37">
                  <c:v>-3.2661750960639835E-2</c:v>
                </c:pt>
                <c:pt idx="38">
                  <c:v>-1.3742015137688563E-2</c:v>
                </c:pt>
                <c:pt idx="39">
                  <c:v>-2.0682523267838431E-3</c:v>
                </c:pt>
                <c:pt idx="40">
                  <c:v>4.5814016907554048E-3</c:v>
                </c:pt>
                <c:pt idx="41">
                  <c:v>7.1665128400021346E-3</c:v>
                </c:pt>
                <c:pt idx="42">
                  <c:v>4.3663414371193053E-3</c:v>
                </c:pt>
                <c:pt idx="43">
                  <c:v>-1.5349935594675748E-2</c:v>
                </c:pt>
                <c:pt idx="44">
                  <c:v>-1.5153166902867115E-2</c:v>
                </c:pt>
                <c:pt idx="45">
                  <c:v>1.383661722382112E-3</c:v>
                </c:pt>
                <c:pt idx="46">
                  <c:v>6.5218592825955161E-3</c:v>
                </c:pt>
                <c:pt idx="47">
                  <c:v>2.1141068584921169E-2</c:v>
                </c:pt>
                <c:pt idx="48">
                  <c:v>1.2959776295977611E-2</c:v>
                </c:pt>
                <c:pt idx="49">
                  <c:v>7.1667462971810496E-3</c:v>
                </c:pt>
                <c:pt idx="50">
                  <c:v>-2.0345772717689149E-2</c:v>
                </c:pt>
                <c:pt idx="51">
                  <c:v>2.3619928978801174E-2</c:v>
                </c:pt>
                <c:pt idx="52">
                  <c:v>6.8331143232589295E-3</c:v>
                </c:pt>
                <c:pt idx="53">
                  <c:v>3.9154267815191849E-3</c:v>
                </c:pt>
                <c:pt idx="54">
                  <c:v>1.9760790431617176E-2</c:v>
                </c:pt>
                <c:pt idx="55">
                  <c:v>6.3742988271290159E-3</c:v>
                </c:pt>
                <c:pt idx="56">
                  <c:v>6.0805675196352526E-3</c:v>
                </c:pt>
                <c:pt idx="57">
                  <c:v>9.4686476957944864E-3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62-5B47-84DE-5586F473A393}"/>
            </c:ext>
          </c:extLst>
        </c:ser>
        <c:ser>
          <c:idx val="1"/>
          <c:order val="1"/>
          <c:tx>
            <c:strRef>
              <c:f>returns!$E$2</c:f>
              <c:strCache>
                <c:ptCount val="1"/>
                <c:pt idx="0">
                  <c:v>META Arithmetic Return</c:v>
                </c:pt>
              </c:strCache>
            </c:strRef>
          </c:tx>
          <c:spPr>
            <a:ln w="475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returns!$E$3:$E$60</c:f>
              <c:numCache>
                <c:formatCode>0.00%</c:formatCode>
                <c:ptCount val="58"/>
                <c:pt idx="0" formatCode="General">
                  <c:v>0</c:v>
                </c:pt>
                <c:pt idx="1">
                  <c:v>3.1137020187167299E-3</c:v>
                </c:pt>
                <c:pt idx="2">
                  <c:v>-5.3630861025367113E-3</c:v>
                </c:pt>
                <c:pt idx="3">
                  <c:v>9.657061617948005E-3</c:v>
                </c:pt>
                <c:pt idx="4">
                  <c:v>3.571735210783768E-3</c:v>
                </c:pt>
                <c:pt idx="5">
                  <c:v>5.2529815375666035E-3</c:v>
                </c:pt>
                <c:pt idx="6">
                  <c:v>8.187234042553098E-3</c:v>
                </c:pt>
                <c:pt idx="7">
                  <c:v>2.6185612263848503E-2</c:v>
                </c:pt>
                <c:pt idx="8">
                  <c:v>2.4250600506728792E-2</c:v>
                </c:pt>
                <c:pt idx="9">
                  <c:v>1.2336160370084915E-2</c:v>
                </c:pt>
                <c:pt idx="10">
                  <c:v>5.5217060167555504E-3</c:v>
                </c:pt>
                <c:pt idx="11">
                  <c:v>-7.2271665719876926E-3</c:v>
                </c:pt>
                <c:pt idx="12">
                  <c:v>-2.7497854213688454E-2</c:v>
                </c:pt>
                <c:pt idx="13">
                  <c:v>-1.0754445606694626E-2</c:v>
                </c:pt>
                <c:pt idx="14">
                  <c:v>-5.9809007699170684E-3</c:v>
                </c:pt>
                <c:pt idx="15">
                  <c:v>-5.3187952928660529E-3</c:v>
                </c:pt>
                <c:pt idx="16">
                  <c:v>4.2443686919322963E-3</c:v>
                </c:pt>
                <c:pt idx="17">
                  <c:v>9.0851609038570934E-3</c:v>
                </c:pt>
                <c:pt idx="18">
                  <c:v>1.0652331640392986E-2</c:v>
                </c:pt>
                <c:pt idx="19">
                  <c:v>9.1695219448523491E-3</c:v>
                </c:pt>
                <c:pt idx="20">
                  <c:v>1.177003168854681E-2</c:v>
                </c:pt>
                <c:pt idx="21">
                  <c:v>-6.7114093959725013E-4</c:v>
                </c:pt>
                <c:pt idx="22">
                  <c:v>5.4526847676612108E-3</c:v>
                </c:pt>
                <c:pt idx="23">
                  <c:v>-2.385534121089712E-3</c:v>
                </c:pt>
                <c:pt idx="24">
                  <c:v>-1.0776514849591084E-2</c:v>
                </c:pt>
                <c:pt idx="25">
                  <c:v>-6.6072550883922174E-3</c:v>
                </c:pt>
                <c:pt idx="26">
                  <c:v>4.850510195804892E-3</c:v>
                </c:pt>
                <c:pt idx="27">
                  <c:v>5.3437086306545789E-3</c:v>
                </c:pt>
                <c:pt idx="28">
                  <c:v>1.1321118301671599E-2</c:v>
                </c:pt>
                <c:pt idx="29">
                  <c:v>1.0194036012575937E-2</c:v>
                </c:pt>
                <c:pt idx="30">
                  <c:v>3.8195535994969346E-3</c:v>
                </c:pt>
                <c:pt idx="31">
                  <c:v>7.954527660773909E-3</c:v>
                </c:pt>
                <c:pt idx="32">
                  <c:v>3.3089434683320055E-3</c:v>
                </c:pt>
                <c:pt idx="33">
                  <c:v>5.2334943639291394E-3</c:v>
                </c:pt>
                <c:pt idx="34">
                  <c:v>-6.5247527802593894E-2</c:v>
                </c:pt>
                <c:pt idx="35">
                  <c:v>-2.6892528754572799E-2</c:v>
                </c:pt>
                <c:pt idx="36">
                  <c:v>-1.1972093338300431E-2</c:v>
                </c:pt>
                <c:pt idx="37">
                  <c:v>-3.5271736336058478E-2</c:v>
                </c:pt>
                <c:pt idx="38">
                  <c:v>-1.5136172253903927E-2</c:v>
                </c:pt>
                <c:pt idx="39">
                  <c:v>1.1634828724498161E-2</c:v>
                </c:pt>
                <c:pt idx="40">
                  <c:v>1.3355443814414419E-2</c:v>
                </c:pt>
                <c:pt idx="41">
                  <c:v>1.5361334482940681E-2</c:v>
                </c:pt>
                <c:pt idx="42">
                  <c:v>8.7862193262166401E-3</c:v>
                </c:pt>
                <c:pt idx="43">
                  <c:v>-2.095823813368615E-2</c:v>
                </c:pt>
                <c:pt idx="44">
                  <c:v>-2.2126300643961351E-2</c:v>
                </c:pt>
                <c:pt idx="45">
                  <c:v>3.2298582451114959E-4</c:v>
                </c:pt>
                <c:pt idx="46">
                  <c:v>1.0027265552127487E-2</c:v>
                </c:pt>
                <c:pt idx="47">
                  <c:v>2.578720230166761E-2</c:v>
                </c:pt>
                <c:pt idx="48">
                  <c:v>3.2895306359182114E-2</c:v>
                </c:pt>
                <c:pt idx="49">
                  <c:v>1.7348597864530118E-2</c:v>
                </c:pt>
                <c:pt idx="50">
                  <c:v>-2.7861073582232315E-2</c:v>
                </c:pt>
                <c:pt idx="51">
                  <c:v>4.226903716760174E-2</c:v>
                </c:pt>
                <c:pt idx="52">
                  <c:v>1.839114103126973E-2</c:v>
                </c:pt>
                <c:pt idx="53">
                  <c:v>1.3747844414638843E-2</c:v>
                </c:pt>
                <c:pt idx="54">
                  <c:v>1.5167981855124503E-2</c:v>
                </c:pt>
                <c:pt idx="55">
                  <c:v>1.8401290883137862E-2</c:v>
                </c:pt>
                <c:pt idx="56">
                  <c:v>9.2781620402815936E-3</c:v>
                </c:pt>
                <c:pt idx="57">
                  <c:v>2.015185593309889E-2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62-5B47-84DE-5586F473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394893"/>
        <c:axId val="38377321"/>
      </c:lineChart>
      <c:catAx>
        <c:axId val="123948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f-ZA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77321"/>
        <c:crosses val="autoZero"/>
        <c:auto val="1"/>
        <c:lblAlgn val="ctr"/>
        <c:lblOffset val="100"/>
        <c:noMultiLvlLbl val="0"/>
      </c:catAx>
      <c:valAx>
        <c:axId val="38377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f-ZA" sz="1000" b="1" strike="noStrike" spc="-1">
                    <a:solidFill>
                      <a:srgbClr val="000000"/>
                    </a:solidFill>
                    <a:latin typeface="Calibri"/>
                  </a:rPr>
                  <a:t>Daily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948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77400</xdr:colOff>
      <xdr:row>28</xdr:row>
      <xdr:rowOff>85680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0</xdr:rowOff>
    </xdr:from>
    <xdr:to>
      <xdr:col>26</xdr:col>
      <xdr:colOff>77760</xdr:colOff>
      <xdr:row>28</xdr:row>
      <xdr:rowOff>85680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selection activeCell="A23" sqref="A23"/>
    </sheetView>
  </sheetViews>
  <sheetFormatPr defaultColWidth="8.7109375" defaultRowHeight="15" x14ac:dyDescent="0.25"/>
  <cols>
    <col min="1" max="7" width="16" style="1" customWidth="1"/>
  </cols>
  <sheetData>
    <row r="1" spans="1:7" ht="24" customHeight="1" x14ac:dyDescent="0.25">
      <c r="A1" s="47" t="s">
        <v>0</v>
      </c>
      <c r="B1" s="47"/>
      <c r="C1" s="47"/>
      <c r="D1" s="47"/>
      <c r="E1" s="47"/>
      <c r="F1" s="47"/>
      <c r="G1" s="47"/>
    </row>
    <row r="2" spans="1:7" ht="1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" customHeight="1" x14ac:dyDescent="0.25">
      <c r="A3" s="3" t="s">
        <v>8</v>
      </c>
      <c r="B3" s="4">
        <v>174.45</v>
      </c>
      <c r="C3" s="4">
        <v>175.89</v>
      </c>
      <c r="D3" s="4">
        <v>172.8</v>
      </c>
      <c r="E3" s="4">
        <v>174.81</v>
      </c>
      <c r="F3" s="4">
        <v>174.81</v>
      </c>
      <c r="G3" s="5">
        <v>28500000</v>
      </c>
    </row>
    <row r="4" spans="1:7" ht="15" customHeight="1" x14ac:dyDescent="0.25">
      <c r="A4" s="6" t="s">
        <v>9</v>
      </c>
      <c r="B4" s="7">
        <v>174.54</v>
      </c>
      <c r="C4" s="7">
        <v>175.55</v>
      </c>
      <c r="D4" s="7">
        <v>173.01</v>
      </c>
      <c r="E4" s="7">
        <v>174.95</v>
      </c>
      <c r="F4" s="7">
        <v>174.95</v>
      </c>
      <c r="G4" s="8">
        <v>25800000</v>
      </c>
    </row>
    <row r="5" spans="1:7" ht="15" customHeight="1" x14ac:dyDescent="0.25">
      <c r="A5" s="3" t="s">
        <v>10</v>
      </c>
      <c r="B5" s="4">
        <v>172.88</v>
      </c>
      <c r="C5" s="4">
        <v>174.15</v>
      </c>
      <c r="D5" s="4">
        <v>171.9</v>
      </c>
      <c r="E5" s="4">
        <v>172.95</v>
      </c>
      <c r="F5" s="4">
        <v>172.95</v>
      </c>
      <c r="G5" s="5">
        <v>22300000</v>
      </c>
    </row>
    <row r="6" spans="1:7" ht="15" customHeight="1" x14ac:dyDescent="0.25">
      <c r="A6" s="6" t="s">
        <v>11</v>
      </c>
      <c r="B6" s="7">
        <v>172.82</v>
      </c>
      <c r="C6" s="7">
        <v>174.2</v>
      </c>
      <c r="D6" s="7">
        <v>171.75</v>
      </c>
      <c r="E6" s="7">
        <v>172.96</v>
      </c>
      <c r="F6" s="7">
        <v>172.96</v>
      </c>
      <c r="G6" s="8">
        <v>31200000</v>
      </c>
    </row>
    <row r="7" spans="1:7" ht="15" customHeight="1" x14ac:dyDescent="0.25">
      <c r="A7" s="3" t="s">
        <v>12</v>
      </c>
      <c r="B7" s="4">
        <v>171.73</v>
      </c>
      <c r="C7" s="4">
        <v>173.98</v>
      </c>
      <c r="D7" s="4">
        <v>170.88</v>
      </c>
      <c r="E7" s="4">
        <v>172.62</v>
      </c>
      <c r="F7" s="4">
        <v>172.62</v>
      </c>
      <c r="G7" s="5">
        <v>19800000</v>
      </c>
    </row>
    <row r="8" spans="1:7" ht="15" customHeight="1" x14ac:dyDescent="0.25">
      <c r="A8" s="6" t="s">
        <v>13</v>
      </c>
      <c r="B8" s="7">
        <v>172.92</v>
      </c>
      <c r="C8" s="7">
        <v>174.5</v>
      </c>
      <c r="D8" s="7">
        <v>171.6</v>
      </c>
      <c r="E8" s="7">
        <v>173.48</v>
      </c>
      <c r="F8" s="7">
        <v>173.48</v>
      </c>
      <c r="G8" s="8">
        <v>21500000</v>
      </c>
    </row>
    <row r="9" spans="1:7" ht="15" customHeight="1" x14ac:dyDescent="0.25">
      <c r="A9" s="3" t="s">
        <v>14</v>
      </c>
      <c r="B9" s="4">
        <v>175.24</v>
      </c>
      <c r="C9" s="4">
        <v>176.88</v>
      </c>
      <c r="D9" s="4">
        <v>174.11</v>
      </c>
      <c r="E9" s="4">
        <v>175.83</v>
      </c>
      <c r="F9" s="4">
        <v>175.83</v>
      </c>
      <c r="G9" s="5">
        <v>27600000</v>
      </c>
    </row>
    <row r="10" spans="1:7" ht="15" customHeight="1" x14ac:dyDescent="0.25">
      <c r="A10" s="6" t="s">
        <v>15</v>
      </c>
      <c r="B10" s="7">
        <v>174.41</v>
      </c>
      <c r="C10" s="7">
        <v>176.72</v>
      </c>
      <c r="D10" s="7">
        <v>173.5</v>
      </c>
      <c r="E10" s="7">
        <v>174.81</v>
      </c>
      <c r="F10" s="7">
        <v>174.81</v>
      </c>
      <c r="G10" s="8">
        <v>32500000</v>
      </c>
    </row>
    <row r="11" spans="1:7" ht="15" customHeight="1" x14ac:dyDescent="0.25">
      <c r="A11" s="3" t="s">
        <v>16</v>
      </c>
      <c r="B11" s="4">
        <v>176.61</v>
      </c>
      <c r="C11" s="4">
        <v>178.4</v>
      </c>
      <c r="D11" s="4">
        <v>175.9</v>
      </c>
      <c r="E11" s="4">
        <v>177.5</v>
      </c>
      <c r="F11" s="4">
        <v>177.5</v>
      </c>
      <c r="G11" s="5">
        <v>26800000</v>
      </c>
    </row>
    <row r="12" spans="1:7" ht="15" customHeight="1" x14ac:dyDescent="0.25">
      <c r="A12" s="6" t="s">
        <v>17</v>
      </c>
      <c r="B12" s="7">
        <v>177.25</v>
      </c>
      <c r="C12" s="7">
        <v>179.45</v>
      </c>
      <c r="D12" s="7">
        <v>176.5</v>
      </c>
      <c r="E12" s="7">
        <v>178.64</v>
      </c>
      <c r="F12" s="7">
        <v>178.64</v>
      </c>
      <c r="G12" s="8">
        <v>22100000</v>
      </c>
    </row>
    <row r="13" spans="1:7" ht="15" customHeight="1" x14ac:dyDescent="0.25">
      <c r="A13" s="3" t="s">
        <v>18</v>
      </c>
      <c r="B13" s="4">
        <v>179.83</v>
      </c>
      <c r="C13" s="4">
        <v>181.5</v>
      </c>
      <c r="D13" s="4">
        <v>178.9</v>
      </c>
      <c r="E13" s="4">
        <v>180.78</v>
      </c>
      <c r="F13" s="4">
        <v>180.78</v>
      </c>
      <c r="G13" s="5">
        <v>18900000</v>
      </c>
    </row>
    <row r="14" spans="1:7" ht="15" customHeight="1" x14ac:dyDescent="0.25">
      <c r="A14" s="6" t="s">
        <v>19</v>
      </c>
      <c r="B14" s="7">
        <v>180.28</v>
      </c>
      <c r="C14" s="7">
        <v>181.8</v>
      </c>
      <c r="D14" s="7">
        <v>179</v>
      </c>
      <c r="E14" s="7">
        <v>180.09</v>
      </c>
      <c r="F14" s="7">
        <v>180.09</v>
      </c>
      <c r="G14" s="8">
        <v>21200000</v>
      </c>
    </row>
    <row r="15" spans="1:7" ht="15" customHeight="1" x14ac:dyDescent="0.25">
      <c r="A15" s="3" t="s">
        <v>20</v>
      </c>
      <c r="B15" s="4">
        <v>178.26</v>
      </c>
      <c r="C15" s="4">
        <v>179.93</v>
      </c>
      <c r="D15" s="4">
        <v>176.88</v>
      </c>
      <c r="E15" s="4">
        <v>177.39</v>
      </c>
      <c r="F15" s="4">
        <v>177.39</v>
      </c>
      <c r="G15" s="5">
        <v>23500000</v>
      </c>
    </row>
    <row r="16" spans="1:7" ht="15" customHeight="1" x14ac:dyDescent="0.25">
      <c r="A16" s="6" t="s">
        <v>21</v>
      </c>
      <c r="B16" s="7">
        <v>177.64</v>
      </c>
      <c r="C16" s="7">
        <v>179.43</v>
      </c>
      <c r="D16" s="7">
        <v>176.33</v>
      </c>
      <c r="E16" s="7">
        <v>177.88</v>
      </c>
      <c r="F16" s="7">
        <v>177.88</v>
      </c>
      <c r="G16" s="8">
        <v>20800000</v>
      </c>
    </row>
    <row r="17" spans="1:7" ht="15" customHeight="1" x14ac:dyDescent="0.25">
      <c r="A17" s="3" t="s">
        <v>22</v>
      </c>
      <c r="B17" s="4">
        <v>176.41</v>
      </c>
      <c r="C17" s="4">
        <v>178.55</v>
      </c>
      <c r="D17" s="4">
        <v>175</v>
      </c>
      <c r="E17" s="4">
        <v>176.55</v>
      </c>
      <c r="F17" s="4">
        <v>176.55</v>
      </c>
      <c r="G17" s="5">
        <v>25300000</v>
      </c>
    </row>
    <row r="18" spans="1:7" ht="15" customHeight="1" x14ac:dyDescent="0.25">
      <c r="A18" s="6" t="s">
        <v>23</v>
      </c>
      <c r="B18" s="7">
        <v>177.25</v>
      </c>
      <c r="C18" s="7">
        <v>178.8</v>
      </c>
      <c r="D18" s="7">
        <v>176.2</v>
      </c>
      <c r="E18" s="7">
        <v>178</v>
      </c>
      <c r="F18" s="7">
        <v>178</v>
      </c>
      <c r="G18" s="8">
        <v>19600000</v>
      </c>
    </row>
    <row r="19" spans="1:7" ht="15" customHeight="1" x14ac:dyDescent="0.25">
      <c r="A19" s="3" t="s">
        <v>24</v>
      </c>
      <c r="B19" s="4">
        <v>178.04</v>
      </c>
      <c r="C19" s="4">
        <v>179.22</v>
      </c>
      <c r="D19" s="4">
        <v>177.1</v>
      </c>
      <c r="E19" s="4">
        <v>178.87</v>
      </c>
      <c r="F19" s="4">
        <v>178.87</v>
      </c>
      <c r="G19" s="5">
        <v>20100000</v>
      </c>
    </row>
    <row r="20" spans="1:7" ht="15" customHeight="1" x14ac:dyDescent="0.25">
      <c r="A20" s="6" t="s">
        <v>25</v>
      </c>
      <c r="B20" s="7">
        <v>179.15</v>
      </c>
      <c r="C20" s="7">
        <v>181.54</v>
      </c>
      <c r="D20" s="7">
        <v>178.5</v>
      </c>
      <c r="E20" s="7">
        <v>180.6</v>
      </c>
      <c r="F20" s="7">
        <v>180.6</v>
      </c>
      <c r="G20" s="8">
        <v>22800000</v>
      </c>
    </row>
    <row r="21" spans="1:7" ht="15" customHeight="1" x14ac:dyDescent="0.25">
      <c r="A21" s="3" t="s">
        <v>26</v>
      </c>
      <c r="B21" s="4">
        <v>180.68</v>
      </c>
      <c r="C21" s="4">
        <v>182.58</v>
      </c>
      <c r="D21" s="4">
        <v>179.4</v>
      </c>
      <c r="E21" s="4">
        <v>181.94</v>
      </c>
      <c r="F21" s="4">
        <v>181.94</v>
      </c>
      <c r="G21" s="5">
        <v>24500000</v>
      </c>
    </row>
    <row r="22" spans="1:7" ht="15" customHeight="1" x14ac:dyDescent="0.25">
      <c r="A22" s="6" t="s">
        <v>27</v>
      </c>
      <c r="B22" s="7">
        <v>182.76</v>
      </c>
      <c r="C22" s="7">
        <v>185.2</v>
      </c>
      <c r="D22" s="7">
        <v>181.9</v>
      </c>
      <c r="E22" s="7">
        <v>184.78</v>
      </c>
      <c r="F22" s="7">
        <v>184.78</v>
      </c>
      <c r="G22" s="8">
        <v>18700000</v>
      </c>
    </row>
    <row r="23" spans="1:7" ht="15" customHeight="1" x14ac:dyDescent="0.25">
      <c r="A23" s="3" t="s">
        <v>28</v>
      </c>
      <c r="B23" s="4">
        <v>184.7</v>
      </c>
      <c r="C23" s="4">
        <v>186.5</v>
      </c>
      <c r="D23" s="4">
        <v>183.8</v>
      </c>
      <c r="E23" s="4">
        <v>186.35</v>
      </c>
      <c r="F23" s="4">
        <v>186.35</v>
      </c>
      <c r="G23" s="5">
        <v>16200000</v>
      </c>
    </row>
    <row r="24" spans="1:7" ht="15" customHeight="1" x14ac:dyDescent="0.25">
      <c r="A24" s="6" t="s">
        <v>29</v>
      </c>
      <c r="B24" s="7">
        <v>185.9</v>
      </c>
      <c r="C24" s="7">
        <v>187.6</v>
      </c>
      <c r="D24" s="7">
        <v>185</v>
      </c>
      <c r="E24" s="7">
        <v>186.49</v>
      </c>
      <c r="F24" s="7">
        <v>186.49</v>
      </c>
      <c r="G24" s="8">
        <v>15800000</v>
      </c>
    </row>
    <row r="25" spans="1:7" ht="15" customHeight="1" x14ac:dyDescent="0.25">
      <c r="A25" s="3" t="s">
        <v>30</v>
      </c>
      <c r="B25" s="4">
        <v>186.24</v>
      </c>
      <c r="C25" s="4">
        <v>187.8</v>
      </c>
      <c r="D25" s="4">
        <v>185.6</v>
      </c>
      <c r="E25" s="4">
        <v>186.99</v>
      </c>
      <c r="F25" s="4">
        <v>186.99</v>
      </c>
      <c r="G25" s="5">
        <v>14500000</v>
      </c>
    </row>
    <row r="26" spans="1:7" ht="15" customHeight="1" x14ac:dyDescent="0.25">
      <c r="A26" s="6" t="s">
        <v>31</v>
      </c>
      <c r="B26" s="7">
        <v>186.22</v>
      </c>
      <c r="C26" s="7">
        <v>188.1</v>
      </c>
      <c r="D26" s="7">
        <v>185.5</v>
      </c>
      <c r="E26" s="7">
        <v>186.72</v>
      </c>
      <c r="F26" s="7">
        <v>186.72</v>
      </c>
      <c r="G26" s="8">
        <v>12300000</v>
      </c>
    </row>
    <row r="27" spans="1:7" ht="15" customHeight="1" x14ac:dyDescent="0.25">
      <c r="A27" s="3" t="s">
        <v>32</v>
      </c>
      <c r="B27" s="4">
        <v>183.45</v>
      </c>
      <c r="C27" s="4">
        <v>185.34</v>
      </c>
      <c r="D27" s="4">
        <v>182.2</v>
      </c>
      <c r="E27" s="4">
        <v>183.89</v>
      </c>
      <c r="F27" s="4">
        <v>183.89</v>
      </c>
      <c r="G27" s="5">
        <v>19800000</v>
      </c>
    </row>
    <row r="28" spans="1:7" ht="15" customHeight="1" x14ac:dyDescent="0.25">
      <c r="A28" s="6" t="s">
        <v>33</v>
      </c>
      <c r="B28" s="7">
        <v>183.9</v>
      </c>
      <c r="C28" s="7">
        <v>185.8</v>
      </c>
      <c r="D28" s="7">
        <v>182.8</v>
      </c>
      <c r="E28" s="7">
        <v>184.23</v>
      </c>
      <c r="F28" s="7">
        <v>184.23</v>
      </c>
      <c r="G28" s="8">
        <v>18200000</v>
      </c>
    </row>
    <row r="29" spans="1:7" ht="15" customHeight="1" x14ac:dyDescent="0.25">
      <c r="A29" s="3" t="s">
        <v>34</v>
      </c>
      <c r="B29" s="4">
        <v>184.5</v>
      </c>
      <c r="C29" s="4">
        <v>186.4</v>
      </c>
      <c r="D29" s="4">
        <v>183.6</v>
      </c>
      <c r="E29" s="4">
        <v>185.22</v>
      </c>
      <c r="F29" s="4">
        <v>185.22</v>
      </c>
      <c r="G29" s="5">
        <v>20500000</v>
      </c>
    </row>
    <row r="30" spans="1:7" ht="15" customHeight="1" x14ac:dyDescent="0.25">
      <c r="A30" s="6" t="s">
        <v>35</v>
      </c>
      <c r="B30" s="7">
        <v>185.2</v>
      </c>
      <c r="C30" s="7">
        <v>187.7</v>
      </c>
      <c r="D30" s="7">
        <v>184.5</v>
      </c>
      <c r="E30" s="7">
        <v>186.29</v>
      </c>
      <c r="F30" s="7">
        <v>186.29</v>
      </c>
      <c r="G30" s="8">
        <v>17800000</v>
      </c>
    </row>
    <row r="31" spans="1:7" ht="15" customHeight="1" x14ac:dyDescent="0.25">
      <c r="A31" s="3" t="s">
        <v>36</v>
      </c>
      <c r="B31" s="4">
        <v>187.5</v>
      </c>
      <c r="C31" s="4">
        <v>189.4</v>
      </c>
      <c r="D31" s="4">
        <v>186.8</v>
      </c>
      <c r="E31" s="4">
        <v>188.24</v>
      </c>
      <c r="F31" s="4">
        <v>188.24</v>
      </c>
      <c r="G31" s="5">
        <v>22100000</v>
      </c>
    </row>
    <row r="32" spans="1:7" ht="15" customHeight="1" x14ac:dyDescent="0.25">
      <c r="A32" s="6" t="s">
        <v>37</v>
      </c>
      <c r="B32" s="7">
        <v>188.4</v>
      </c>
      <c r="C32" s="7">
        <v>190.88</v>
      </c>
      <c r="D32" s="7">
        <v>187.9</v>
      </c>
      <c r="E32" s="7">
        <v>189.86</v>
      </c>
      <c r="F32" s="7">
        <v>189.86</v>
      </c>
      <c r="G32" s="8">
        <v>19300000</v>
      </c>
    </row>
    <row r="33" spans="1:7" ht="15" customHeight="1" x14ac:dyDescent="0.25">
      <c r="A33" s="3" t="s">
        <v>38</v>
      </c>
      <c r="B33" s="4">
        <v>189.5</v>
      </c>
      <c r="C33" s="4">
        <v>191.2</v>
      </c>
      <c r="D33" s="4">
        <v>188.7</v>
      </c>
      <c r="E33" s="4">
        <v>190.14</v>
      </c>
      <c r="F33" s="4">
        <v>190.14</v>
      </c>
      <c r="G33" s="5">
        <v>21500000</v>
      </c>
    </row>
    <row r="34" spans="1:7" ht="15" customHeight="1" x14ac:dyDescent="0.25">
      <c r="A34" s="6" t="s">
        <v>39</v>
      </c>
      <c r="B34" s="7">
        <v>190.3</v>
      </c>
      <c r="C34" s="7">
        <v>192.8</v>
      </c>
      <c r="D34" s="7">
        <v>189.9</v>
      </c>
      <c r="E34" s="7">
        <v>191.88</v>
      </c>
      <c r="F34" s="7">
        <v>191.88</v>
      </c>
      <c r="G34" s="8">
        <v>23800000</v>
      </c>
    </row>
    <row r="35" spans="1:7" ht="15" customHeight="1" x14ac:dyDescent="0.25">
      <c r="A35" s="3" t="s">
        <v>40</v>
      </c>
      <c r="B35" s="4">
        <v>191.2</v>
      </c>
      <c r="C35" s="4">
        <v>193.8</v>
      </c>
      <c r="D35" s="4">
        <v>190.5</v>
      </c>
      <c r="E35" s="4">
        <v>192.08</v>
      </c>
      <c r="F35" s="4">
        <v>192.08</v>
      </c>
      <c r="G35" s="5">
        <v>20200000</v>
      </c>
    </row>
    <row r="36" spans="1:7" ht="15" customHeight="1" x14ac:dyDescent="0.25">
      <c r="A36" s="6" t="s">
        <v>41</v>
      </c>
      <c r="B36" s="7">
        <v>192.4</v>
      </c>
      <c r="C36" s="7">
        <v>194.5</v>
      </c>
      <c r="D36" s="7">
        <v>191.5</v>
      </c>
      <c r="E36" s="7">
        <v>193.56</v>
      </c>
      <c r="F36" s="7">
        <v>193.56</v>
      </c>
      <c r="G36" s="8">
        <v>18900000</v>
      </c>
    </row>
    <row r="37" spans="1:7" ht="15" customHeight="1" x14ac:dyDescent="0.25">
      <c r="A37" s="3" t="s">
        <v>42</v>
      </c>
      <c r="B37" s="4">
        <v>193.5</v>
      </c>
      <c r="C37" s="4">
        <v>196</v>
      </c>
      <c r="D37" s="4">
        <v>192.4</v>
      </c>
      <c r="E37" s="4">
        <v>195.82</v>
      </c>
      <c r="F37" s="4">
        <v>195.82</v>
      </c>
      <c r="G37" s="5">
        <v>25600000</v>
      </c>
    </row>
    <row r="38" spans="1:7" ht="15" customHeight="1" x14ac:dyDescent="0.25">
      <c r="A38" s="6" t="s">
        <v>43</v>
      </c>
      <c r="B38" s="7">
        <v>191.8</v>
      </c>
      <c r="C38" s="7">
        <v>194.2</v>
      </c>
      <c r="D38" s="7">
        <v>189.2</v>
      </c>
      <c r="E38" s="7">
        <v>191.95</v>
      </c>
      <c r="F38" s="7">
        <v>191.95</v>
      </c>
      <c r="G38" s="8">
        <v>27300000</v>
      </c>
    </row>
    <row r="39" spans="1:7" ht="15" customHeight="1" x14ac:dyDescent="0.25">
      <c r="A39" s="3" t="s">
        <v>44</v>
      </c>
      <c r="B39" s="4">
        <v>192.3</v>
      </c>
      <c r="C39" s="4">
        <v>193.9</v>
      </c>
      <c r="D39" s="4">
        <v>188.5</v>
      </c>
      <c r="E39" s="4">
        <v>192.58</v>
      </c>
      <c r="F39" s="4">
        <v>192.58</v>
      </c>
      <c r="G39" s="5">
        <v>24100000</v>
      </c>
    </row>
    <row r="40" spans="1:7" ht="15" customHeight="1" x14ac:dyDescent="0.25">
      <c r="A40" s="6" t="s">
        <v>45</v>
      </c>
      <c r="B40" s="7">
        <v>187.4</v>
      </c>
      <c r="C40" s="7">
        <v>190.1</v>
      </c>
      <c r="D40" s="7">
        <v>183.6</v>
      </c>
      <c r="E40" s="7">
        <v>186.29</v>
      </c>
      <c r="F40" s="7">
        <v>186.29</v>
      </c>
      <c r="G40" s="8">
        <v>35200000</v>
      </c>
    </row>
    <row r="41" spans="1:7" ht="15" customHeight="1" x14ac:dyDescent="0.25">
      <c r="A41" s="3" t="s">
        <v>46</v>
      </c>
      <c r="B41" s="4">
        <v>183.9</v>
      </c>
      <c r="C41" s="4">
        <v>186.6</v>
      </c>
      <c r="D41" s="4">
        <v>180.1</v>
      </c>
      <c r="E41" s="4">
        <v>183.73</v>
      </c>
      <c r="F41" s="4">
        <v>183.73</v>
      </c>
      <c r="G41" s="5">
        <v>29800000</v>
      </c>
    </row>
    <row r="42" spans="1:7" ht="15" customHeight="1" x14ac:dyDescent="0.25">
      <c r="A42" s="6" t="s">
        <v>47</v>
      </c>
      <c r="B42" s="7">
        <v>182.5</v>
      </c>
      <c r="C42" s="7">
        <v>184.9</v>
      </c>
      <c r="D42" s="7">
        <v>181</v>
      </c>
      <c r="E42" s="7">
        <v>183.35</v>
      </c>
      <c r="F42" s="7">
        <v>183.35</v>
      </c>
      <c r="G42" s="8">
        <v>14200000</v>
      </c>
    </row>
    <row r="43" spans="1:7" ht="15" customHeight="1" x14ac:dyDescent="0.25">
      <c r="A43" s="3" t="s">
        <v>48</v>
      </c>
      <c r="B43" s="4">
        <v>183.2</v>
      </c>
      <c r="C43" s="4">
        <v>185.5</v>
      </c>
      <c r="D43" s="4">
        <v>182.4</v>
      </c>
      <c r="E43" s="4">
        <v>184.19</v>
      </c>
      <c r="F43" s="4">
        <v>184.19</v>
      </c>
      <c r="G43" s="5">
        <v>10500000</v>
      </c>
    </row>
    <row r="44" spans="1:7" ht="15" customHeight="1" x14ac:dyDescent="0.25">
      <c r="A44" s="6" t="s">
        <v>49</v>
      </c>
      <c r="B44" s="7">
        <v>184.1</v>
      </c>
      <c r="C44" s="7">
        <v>186.6</v>
      </c>
      <c r="D44" s="7">
        <v>183.5</v>
      </c>
      <c r="E44" s="7">
        <v>185.51</v>
      </c>
      <c r="F44" s="7">
        <v>185.51</v>
      </c>
      <c r="G44" s="8">
        <v>15800000</v>
      </c>
    </row>
    <row r="45" spans="1:7" ht="15" customHeight="1" x14ac:dyDescent="0.25">
      <c r="A45" s="3" t="s">
        <v>50</v>
      </c>
      <c r="B45" s="4">
        <v>185.3</v>
      </c>
      <c r="C45" s="4">
        <v>187</v>
      </c>
      <c r="D45" s="4">
        <v>184.2</v>
      </c>
      <c r="E45" s="4">
        <v>186.32</v>
      </c>
      <c r="F45" s="4">
        <v>186.32</v>
      </c>
      <c r="G45" s="5">
        <v>16200000</v>
      </c>
    </row>
    <row r="46" spans="1:7" ht="15" customHeight="1" x14ac:dyDescent="0.25">
      <c r="A46" s="6" t="s">
        <v>51</v>
      </c>
      <c r="B46" s="7">
        <v>183.4</v>
      </c>
      <c r="C46" s="7">
        <v>184.9</v>
      </c>
      <c r="D46" s="7">
        <v>181.8</v>
      </c>
      <c r="E46" s="7">
        <v>183.46</v>
      </c>
      <c r="F46" s="7">
        <v>183.46</v>
      </c>
      <c r="G46" s="8">
        <v>18900000</v>
      </c>
    </row>
    <row r="47" spans="1:7" ht="15" customHeight="1" x14ac:dyDescent="0.25">
      <c r="A47" s="3" t="s">
        <v>52</v>
      </c>
      <c r="B47" s="4">
        <v>180.5</v>
      </c>
      <c r="C47" s="4">
        <v>182.1</v>
      </c>
      <c r="D47" s="4">
        <v>179.2</v>
      </c>
      <c r="E47" s="4">
        <v>180.68</v>
      </c>
      <c r="F47" s="4">
        <v>180.68</v>
      </c>
      <c r="G47" s="5">
        <v>22500000</v>
      </c>
    </row>
    <row r="48" spans="1:7" ht="15" customHeight="1" x14ac:dyDescent="0.25">
      <c r="A48" s="6" t="s">
        <v>53</v>
      </c>
      <c r="B48" s="7">
        <v>180.2</v>
      </c>
      <c r="C48" s="7">
        <v>182.5</v>
      </c>
      <c r="D48" s="7">
        <v>179.5</v>
      </c>
      <c r="E48" s="7">
        <v>180.93</v>
      </c>
      <c r="F48" s="7">
        <v>180.93</v>
      </c>
      <c r="G48" s="8">
        <v>25800000</v>
      </c>
    </row>
    <row r="49" spans="1:7" ht="15" customHeight="1" x14ac:dyDescent="0.25">
      <c r="A49" s="3" t="s">
        <v>54</v>
      </c>
      <c r="B49" s="4">
        <v>181.5</v>
      </c>
      <c r="C49" s="4">
        <v>183.8</v>
      </c>
      <c r="D49" s="4">
        <v>180.3</v>
      </c>
      <c r="E49" s="4">
        <v>182.11</v>
      </c>
      <c r="F49" s="4">
        <v>182.11</v>
      </c>
      <c r="G49" s="5">
        <v>21300000</v>
      </c>
    </row>
    <row r="50" spans="1:7" ht="15" customHeight="1" x14ac:dyDescent="0.25">
      <c r="A50" s="6" t="s">
        <v>55</v>
      </c>
      <c r="B50" s="7">
        <v>182.7</v>
      </c>
      <c r="C50" s="7">
        <v>186.2</v>
      </c>
      <c r="D50" s="7">
        <v>181.8</v>
      </c>
      <c r="E50" s="7">
        <v>185.96</v>
      </c>
      <c r="F50" s="7">
        <v>185.96</v>
      </c>
      <c r="G50" s="8">
        <v>28500000</v>
      </c>
    </row>
    <row r="51" spans="1:7" ht="15" customHeight="1" x14ac:dyDescent="0.25">
      <c r="A51" s="3" t="s">
        <v>56</v>
      </c>
      <c r="B51" s="4">
        <v>187.5</v>
      </c>
      <c r="C51" s="4">
        <v>189.8</v>
      </c>
      <c r="D51" s="4">
        <v>186</v>
      </c>
      <c r="E51" s="4">
        <v>188.37</v>
      </c>
      <c r="F51" s="4">
        <v>188.37</v>
      </c>
      <c r="G51" s="5">
        <v>31200000</v>
      </c>
    </row>
    <row r="52" spans="1:7" ht="15" customHeight="1" x14ac:dyDescent="0.25">
      <c r="A52" s="6" t="s">
        <v>57</v>
      </c>
      <c r="B52" s="7">
        <v>188.9</v>
      </c>
      <c r="C52" s="7">
        <v>191.5</v>
      </c>
      <c r="D52" s="7">
        <v>187.5</v>
      </c>
      <c r="E52" s="7">
        <v>189.72</v>
      </c>
      <c r="F52" s="7">
        <v>189.72</v>
      </c>
      <c r="G52" s="8">
        <v>26800000</v>
      </c>
    </row>
    <row r="53" spans="1:7" ht="15" customHeight="1" x14ac:dyDescent="0.25">
      <c r="A53" s="3" t="s">
        <v>58</v>
      </c>
      <c r="B53" s="4">
        <v>184.5</v>
      </c>
      <c r="C53" s="4">
        <v>188.5</v>
      </c>
      <c r="D53" s="4">
        <v>182.8</v>
      </c>
      <c r="E53" s="4">
        <v>185.86</v>
      </c>
      <c r="F53" s="4">
        <v>185.86</v>
      </c>
      <c r="G53" s="5">
        <v>35200000</v>
      </c>
    </row>
    <row r="54" spans="1:7" ht="15" customHeight="1" x14ac:dyDescent="0.25">
      <c r="A54" s="6" t="s">
        <v>59</v>
      </c>
      <c r="B54" s="7">
        <v>189.5</v>
      </c>
      <c r="C54" s="7">
        <v>191.8</v>
      </c>
      <c r="D54" s="7">
        <v>188.2</v>
      </c>
      <c r="E54" s="7">
        <v>190.25</v>
      </c>
      <c r="F54" s="7">
        <v>190.25</v>
      </c>
      <c r="G54" s="8">
        <v>28900000</v>
      </c>
    </row>
    <row r="55" spans="1:7" ht="15" customHeight="1" x14ac:dyDescent="0.25">
      <c r="A55" s="3" t="s">
        <v>60</v>
      </c>
      <c r="B55" s="4">
        <v>190.5</v>
      </c>
      <c r="C55" s="4">
        <v>193.6</v>
      </c>
      <c r="D55" s="4">
        <v>189.4</v>
      </c>
      <c r="E55" s="4">
        <v>191.55</v>
      </c>
      <c r="F55" s="4">
        <v>191.55</v>
      </c>
      <c r="G55" s="5">
        <v>22100000</v>
      </c>
    </row>
    <row r="56" spans="1:7" ht="15" customHeight="1" x14ac:dyDescent="0.25">
      <c r="A56" s="6" t="s">
        <v>61</v>
      </c>
      <c r="B56" s="7">
        <v>191.3</v>
      </c>
      <c r="C56" s="7">
        <v>194</v>
      </c>
      <c r="D56" s="7">
        <v>190</v>
      </c>
      <c r="E56" s="7">
        <v>192.3</v>
      </c>
      <c r="F56" s="7">
        <v>192.3</v>
      </c>
      <c r="G56" s="8">
        <v>19500000</v>
      </c>
    </row>
    <row r="57" spans="1:7" ht="15" customHeight="1" x14ac:dyDescent="0.25">
      <c r="A57" s="3" t="s">
        <v>62</v>
      </c>
      <c r="B57" s="4">
        <v>195</v>
      </c>
      <c r="C57" s="4">
        <v>196.5</v>
      </c>
      <c r="D57" s="4">
        <v>193.8</v>
      </c>
      <c r="E57" s="4">
        <v>196.1</v>
      </c>
      <c r="F57" s="4">
        <v>196.1</v>
      </c>
      <c r="G57" s="5">
        <v>21800000</v>
      </c>
    </row>
    <row r="58" spans="1:7" ht="15" customHeight="1" x14ac:dyDescent="0.25">
      <c r="A58" s="6" t="s">
        <v>63</v>
      </c>
      <c r="B58" s="7">
        <v>196.5</v>
      </c>
      <c r="C58" s="7">
        <v>198.5</v>
      </c>
      <c r="D58" s="7">
        <v>195.5</v>
      </c>
      <c r="E58" s="7">
        <v>197.35</v>
      </c>
      <c r="F58" s="7">
        <v>197.35</v>
      </c>
      <c r="G58" s="8">
        <v>17600000</v>
      </c>
    </row>
    <row r="59" spans="1:7" ht="15" customHeight="1" x14ac:dyDescent="0.25">
      <c r="A59" s="3" t="s">
        <v>64</v>
      </c>
      <c r="B59" s="4">
        <v>197.8</v>
      </c>
      <c r="C59" s="4">
        <v>200.2</v>
      </c>
      <c r="D59" s="4">
        <v>196.8</v>
      </c>
      <c r="E59" s="4">
        <v>198.55</v>
      </c>
      <c r="F59" s="4">
        <v>198.55</v>
      </c>
      <c r="G59" s="5">
        <v>15900000</v>
      </c>
    </row>
    <row r="60" spans="1:7" ht="15" customHeight="1" x14ac:dyDescent="0.25">
      <c r="A60" s="6" t="s">
        <v>65</v>
      </c>
      <c r="B60" s="7">
        <v>199.5</v>
      </c>
      <c r="C60" s="7">
        <v>202.1</v>
      </c>
      <c r="D60" s="7">
        <v>198.4</v>
      </c>
      <c r="E60" s="7">
        <v>200.43</v>
      </c>
      <c r="F60" s="7">
        <v>200.43</v>
      </c>
      <c r="G60" s="8">
        <v>18200000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selection sqref="A1:G1"/>
    </sheetView>
  </sheetViews>
  <sheetFormatPr defaultColWidth="8.7109375" defaultRowHeight="15" x14ac:dyDescent="0.25"/>
  <cols>
    <col min="1" max="7" width="16" style="1" customWidth="1"/>
  </cols>
  <sheetData>
    <row r="1" spans="1:7" ht="24" customHeight="1" x14ac:dyDescent="0.25">
      <c r="A1" s="47" t="s">
        <v>66</v>
      </c>
      <c r="B1" s="47"/>
      <c r="C1" s="47"/>
      <c r="D1" s="47"/>
      <c r="E1" s="47"/>
      <c r="F1" s="47"/>
      <c r="G1" s="47"/>
    </row>
    <row r="2" spans="1:7" ht="1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" customHeight="1" x14ac:dyDescent="0.25">
      <c r="A3" s="3" t="s">
        <v>8</v>
      </c>
      <c r="B3" s="4">
        <v>578.20000000000005</v>
      </c>
      <c r="C3" s="4">
        <v>582.79999999999995</v>
      </c>
      <c r="D3" s="4">
        <v>572.5</v>
      </c>
      <c r="E3" s="4">
        <v>578.09</v>
      </c>
      <c r="F3" s="4">
        <v>578.09</v>
      </c>
      <c r="G3" s="5">
        <v>18500000</v>
      </c>
    </row>
    <row r="4" spans="1:7" ht="15" customHeight="1" x14ac:dyDescent="0.25">
      <c r="A4" s="6" t="s">
        <v>9</v>
      </c>
      <c r="B4" s="7">
        <v>578.72</v>
      </c>
      <c r="C4" s="7">
        <v>583.45000000000005</v>
      </c>
      <c r="D4" s="7">
        <v>574.20000000000005</v>
      </c>
      <c r="E4" s="7">
        <v>579.89</v>
      </c>
      <c r="F4" s="7">
        <v>579.89</v>
      </c>
      <c r="G4" s="8">
        <v>16200000</v>
      </c>
    </row>
    <row r="5" spans="1:7" ht="15" customHeight="1" x14ac:dyDescent="0.25">
      <c r="A5" s="3" t="s">
        <v>10</v>
      </c>
      <c r="B5" s="4">
        <v>575.1</v>
      </c>
      <c r="C5" s="4">
        <v>580.6</v>
      </c>
      <c r="D5" s="4">
        <v>570.79999999999995</v>
      </c>
      <c r="E5" s="4">
        <v>576.78</v>
      </c>
      <c r="F5" s="4">
        <v>576.78</v>
      </c>
      <c r="G5" s="5">
        <v>15800000</v>
      </c>
    </row>
    <row r="6" spans="1:7" ht="15" customHeight="1" x14ac:dyDescent="0.25">
      <c r="A6" s="6" t="s">
        <v>11</v>
      </c>
      <c r="B6" s="7">
        <v>580.45000000000005</v>
      </c>
      <c r="C6" s="7">
        <v>586.20000000000005</v>
      </c>
      <c r="D6" s="7">
        <v>576.4</v>
      </c>
      <c r="E6" s="7">
        <v>582.35</v>
      </c>
      <c r="F6" s="7">
        <v>582.35</v>
      </c>
      <c r="G6" s="8">
        <v>21500000</v>
      </c>
    </row>
    <row r="7" spans="1:7" ht="15" customHeight="1" x14ac:dyDescent="0.25">
      <c r="A7" s="3" t="s">
        <v>12</v>
      </c>
      <c r="B7" s="4">
        <v>582.29999999999995</v>
      </c>
      <c r="C7" s="4">
        <v>588.4</v>
      </c>
      <c r="D7" s="4">
        <v>578.6</v>
      </c>
      <c r="E7" s="4">
        <v>584.42999999999995</v>
      </c>
      <c r="F7" s="4">
        <v>584.42999999999995</v>
      </c>
      <c r="G7" s="5">
        <v>14200000</v>
      </c>
    </row>
    <row r="8" spans="1:7" ht="15" customHeight="1" x14ac:dyDescent="0.25">
      <c r="A8" s="6" t="s">
        <v>13</v>
      </c>
      <c r="B8" s="7">
        <v>585.5</v>
      </c>
      <c r="C8" s="7">
        <v>591.79999999999995</v>
      </c>
      <c r="D8" s="7">
        <v>581.79999999999995</v>
      </c>
      <c r="E8" s="7">
        <v>587.5</v>
      </c>
      <c r="F8" s="7">
        <v>587.5</v>
      </c>
      <c r="G8" s="8">
        <v>15800000</v>
      </c>
    </row>
    <row r="9" spans="1:7" ht="15" customHeight="1" x14ac:dyDescent="0.25">
      <c r="A9" s="3" t="s">
        <v>14</v>
      </c>
      <c r="B9" s="4">
        <v>590.20000000000005</v>
      </c>
      <c r="C9" s="4">
        <v>596.5</v>
      </c>
      <c r="D9" s="4">
        <v>587.4</v>
      </c>
      <c r="E9" s="4">
        <v>592.30999999999995</v>
      </c>
      <c r="F9" s="4">
        <v>592.30999999999995</v>
      </c>
      <c r="G9" s="5">
        <v>18900000</v>
      </c>
    </row>
    <row r="10" spans="1:7" ht="15" customHeight="1" x14ac:dyDescent="0.25">
      <c r="A10" s="6" t="s">
        <v>15</v>
      </c>
      <c r="B10" s="7">
        <v>592.79999999999995</v>
      </c>
      <c r="C10" s="7">
        <v>608.9</v>
      </c>
      <c r="D10" s="7">
        <v>589.5</v>
      </c>
      <c r="E10" s="7">
        <v>607.82000000000005</v>
      </c>
      <c r="F10" s="7">
        <v>607.82000000000005</v>
      </c>
      <c r="G10" s="8">
        <v>22500000</v>
      </c>
    </row>
    <row r="11" spans="1:7" ht="15" customHeight="1" x14ac:dyDescent="0.25">
      <c r="A11" s="3" t="s">
        <v>16</v>
      </c>
      <c r="B11" s="4">
        <v>612.5</v>
      </c>
      <c r="C11" s="4">
        <v>625.79999999999995</v>
      </c>
      <c r="D11" s="4">
        <v>609.79999999999995</v>
      </c>
      <c r="E11" s="4">
        <v>622.55999999999995</v>
      </c>
      <c r="F11" s="4">
        <v>622.55999999999995</v>
      </c>
      <c r="G11" s="5">
        <v>28500000</v>
      </c>
    </row>
    <row r="12" spans="1:7" ht="15" customHeight="1" x14ac:dyDescent="0.25">
      <c r="A12" s="6" t="s">
        <v>17</v>
      </c>
      <c r="B12" s="7">
        <v>620.79999999999995</v>
      </c>
      <c r="C12" s="7">
        <v>632.5</v>
      </c>
      <c r="D12" s="7">
        <v>617.5</v>
      </c>
      <c r="E12" s="7">
        <v>630.24</v>
      </c>
      <c r="F12" s="7">
        <v>630.24</v>
      </c>
      <c r="G12" s="8">
        <v>19800000</v>
      </c>
    </row>
    <row r="13" spans="1:7" ht="15" customHeight="1" x14ac:dyDescent="0.25">
      <c r="A13" s="3" t="s">
        <v>18</v>
      </c>
      <c r="B13" s="4">
        <v>623.5</v>
      </c>
      <c r="C13" s="4">
        <v>635.79999999999995</v>
      </c>
      <c r="D13" s="4">
        <v>620.4</v>
      </c>
      <c r="E13" s="4">
        <v>633.72</v>
      </c>
      <c r="F13" s="4">
        <v>633.72</v>
      </c>
      <c r="G13" s="5">
        <v>17500000</v>
      </c>
    </row>
    <row r="14" spans="1:7" ht="15" customHeight="1" x14ac:dyDescent="0.25">
      <c r="A14" s="6" t="s">
        <v>19</v>
      </c>
      <c r="B14" s="7">
        <v>628.70000000000005</v>
      </c>
      <c r="C14" s="7">
        <v>638.5</v>
      </c>
      <c r="D14" s="7">
        <v>622.79999999999995</v>
      </c>
      <c r="E14" s="7">
        <v>629.14</v>
      </c>
      <c r="F14" s="7">
        <v>629.14</v>
      </c>
      <c r="G14" s="8">
        <v>20200000</v>
      </c>
    </row>
    <row r="15" spans="1:7" ht="15" customHeight="1" x14ac:dyDescent="0.25">
      <c r="A15" s="3" t="s">
        <v>20</v>
      </c>
      <c r="B15" s="4">
        <v>615.79999999999995</v>
      </c>
      <c r="C15" s="4">
        <v>621.5</v>
      </c>
      <c r="D15" s="4">
        <v>610.5</v>
      </c>
      <c r="E15" s="4">
        <v>611.84</v>
      </c>
      <c r="F15" s="4">
        <v>611.84</v>
      </c>
      <c r="G15" s="5">
        <v>22800000</v>
      </c>
    </row>
    <row r="16" spans="1:7" ht="15" customHeight="1" x14ac:dyDescent="0.25">
      <c r="A16" s="6" t="s">
        <v>21</v>
      </c>
      <c r="B16" s="7">
        <v>608.4</v>
      </c>
      <c r="C16" s="7">
        <v>612.79999999999995</v>
      </c>
      <c r="D16" s="7">
        <v>603.20000000000005</v>
      </c>
      <c r="E16" s="7">
        <v>605.26</v>
      </c>
      <c r="F16" s="7">
        <v>605.26</v>
      </c>
      <c r="G16" s="8">
        <v>18900000</v>
      </c>
    </row>
    <row r="17" spans="1:7" ht="15" customHeight="1" x14ac:dyDescent="0.25">
      <c r="A17" s="3" t="s">
        <v>22</v>
      </c>
      <c r="B17" s="4">
        <v>600.20000000000005</v>
      </c>
      <c r="C17" s="4">
        <v>606.5</v>
      </c>
      <c r="D17" s="4">
        <v>596.5</v>
      </c>
      <c r="E17" s="4">
        <v>601.64</v>
      </c>
      <c r="F17" s="4">
        <v>601.64</v>
      </c>
      <c r="G17" s="5">
        <v>21500000</v>
      </c>
    </row>
    <row r="18" spans="1:7" ht="15" customHeight="1" x14ac:dyDescent="0.25">
      <c r="A18" s="6" t="s">
        <v>23</v>
      </c>
      <c r="B18" s="7">
        <v>595.79999999999995</v>
      </c>
      <c r="C18" s="7">
        <v>601.79999999999995</v>
      </c>
      <c r="D18" s="7">
        <v>592.4</v>
      </c>
      <c r="E18" s="7">
        <v>598.44000000000005</v>
      </c>
      <c r="F18" s="7">
        <v>598.44000000000005</v>
      </c>
      <c r="G18" s="8">
        <v>16800000</v>
      </c>
    </row>
    <row r="19" spans="1:7" ht="15" customHeight="1" x14ac:dyDescent="0.25">
      <c r="A19" s="3" t="s">
        <v>24</v>
      </c>
      <c r="B19" s="4">
        <v>598.4</v>
      </c>
      <c r="C19" s="4">
        <v>604.5</v>
      </c>
      <c r="D19" s="4">
        <v>595.20000000000005</v>
      </c>
      <c r="E19" s="4">
        <v>600.98</v>
      </c>
      <c r="F19" s="4">
        <v>600.98</v>
      </c>
      <c r="G19" s="5">
        <v>17200000</v>
      </c>
    </row>
    <row r="20" spans="1:7" ht="15" customHeight="1" x14ac:dyDescent="0.25">
      <c r="A20" s="6" t="s">
        <v>25</v>
      </c>
      <c r="B20" s="7">
        <v>602.5</v>
      </c>
      <c r="C20" s="7">
        <v>610.20000000000005</v>
      </c>
      <c r="D20" s="7">
        <v>599.79999999999995</v>
      </c>
      <c r="E20" s="7">
        <v>606.44000000000005</v>
      </c>
      <c r="F20" s="7">
        <v>606.44000000000005</v>
      </c>
      <c r="G20" s="8">
        <v>19500000</v>
      </c>
    </row>
    <row r="21" spans="1:7" ht="15" customHeight="1" x14ac:dyDescent="0.25">
      <c r="A21" s="3" t="s">
        <v>26</v>
      </c>
      <c r="B21" s="4">
        <v>608.70000000000005</v>
      </c>
      <c r="C21" s="4">
        <v>616.79999999999995</v>
      </c>
      <c r="D21" s="4">
        <v>605.4</v>
      </c>
      <c r="E21" s="4">
        <v>612.9</v>
      </c>
      <c r="F21" s="4">
        <v>612.9</v>
      </c>
      <c r="G21" s="5">
        <v>21800000</v>
      </c>
    </row>
    <row r="22" spans="1:7" ht="15" customHeight="1" x14ac:dyDescent="0.25">
      <c r="A22" s="6" t="s">
        <v>27</v>
      </c>
      <c r="B22" s="7">
        <v>615.20000000000005</v>
      </c>
      <c r="C22" s="7">
        <v>621.5</v>
      </c>
      <c r="D22" s="7">
        <v>611.79999999999995</v>
      </c>
      <c r="E22" s="7">
        <v>618.52</v>
      </c>
      <c r="F22" s="7">
        <v>618.52</v>
      </c>
      <c r="G22" s="8">
        <v>16500000</v>
      </c>
    </row>
    <row r="23" spans="1:7" ht="15" customHeight="1" x14ac:dyDescent="0.25">
      <c r="A23" s="3" t="s">
        <v>28</v>
      </c>
      <c r="B23" s="4">
        <v>620.4</v>
      </c>
      <c r="C23" s="4">
        <v>627.79999999999995</v>
      </c>
      <c r="D23" s="4">
        <v>617.5</v>
      </c>
      <c r="E23" s="4">
        <v>625.79999999999995</v>
      </c>
      <c r="F23" s="4">
        <v>625.79999999999995</v>
      </c>
      <c r="G23" s="5">
        <v>13800000</v>
      </c>
    </row>
    <row r="24" spans="1:7" ht="15" customHeight="1" x14ac:dyDescent="0.25">
      <c r="A24" s="6" t="s">
        <v>29</v>
      </c>
      <c r="B24" s="7">
        <v>622.79999999999995</v>
      </c>
      <c r="C24" s="7">
        <v>628.9</v>
      </c>
      <c r="D24" s="7">
        <v>619.6</v>
      </c>
      <c r="E24" s="7">
        <v>625.38</v>
      </c>
      <c r="F24" s="7">
        <v>625.38</v>
      </c>
      <c r="G24" s="8">
        <v>13200000</v>
      </c>
    </row>
    <row r="25" spans="1:7" ht="15" customHeight="1" x14ac:dyDescent="0.25">
      <c r="A25" s="3" t="s">
        <v>30</v>
      </c>
      <c r="B25" s="4">
        <v>624.5</v>
      </c>
      <c r="C25" s="4">
        <v>630.4</v>
      </c>
      <c r="D25" s="4">
        <v>621.79999999999995</v>
      </c>
      <c r="E25" s="4">
        <v>628.79</v>
      </c>
      <c r="F25" s="4">
        <v>628.79</v>
      </c>
      <c r="G25" s="5">
        <v>12500000</v>
      </c>
    </row>
    <row r="26" spans="1:7" ht="15" customHeight="1" x14ac:dyDescent="0.25">
      <c r="A26" s="6" t="s">
        <v>31</v>
      </c>
      <c r="B26" s="7">
        <v>625.20000000000005</v>
      </c>
      <c r="C26" s="7">
        <v>629.5</v>
      </c>
      <c r="D26" s="7">
        <v>622.4</v>
      </c>
      <c r="E26" s="7">
        <v>627.29</v>
      </c>
      <c r="F26" s="7">
        <v>627.29</v>
      </c>
      <c r="G26" s="8">
        <v>10800000</v>
      </c>
    </row>
    <row r="27" spans="1:7" ht="15" customHeight="1" x14ac:dyDescent="0.25">
      <c r="A27" s="3" t="s">
        <v>32</v>
      </c>
      <c r="B27" s="4">
        <v>618.4</v>
      </c>
      <c r="C27" s="4">
        <v>622.79999999999995</v>
      </c>
      <c r="D27" s="4">
        <v>614.79999999999995</v>
      </c>
      <c r="E27" s="4">
        <v>620.53</v>
      </c>
      <c r="F27" s="4">
        <v>620.53</v>
      </c>
      <c r="G27" s="5">
        <v>16500000</v>
      </c>
    </row>
    <row r="28" spans="1:7" ht="15" customHeight="1" x14ac:dyDescent="0.25">
      <c r="A28" s="6" t="s">
        <v>33</v>
      </c>
      <c r="B28" s="7">
        <v>615.5</v>
      </c>
      <c r="C28" s="7">
        <v>620.4</v>
      </c>
      <c r="D28" s="7">
        <v>612.29999999999995</v>
      </c>
      <c r="E28" s="7">
        <v>616.42999999999995</v>
      </c>
      <c r="F28" s="7">
        <v>616.42999999999995</v>
      </c>
      <c r="G28" s="8">
        <v>15200000</v>
      </c>
    </row>
    <row r="29" spans="1:7" ht="15" customHeight="1" x14ac:dyDescent="0.25">
      <c r="A29" s="3" t="s">
        <v>34</v>
      </c>
      <c r="B29" s="4">
        <v>617.79999999999995</v>
      </c>
      <c r="C29" s="4">
        <v>623.5</v>
      </c>
      <c r="D29" s="4">
        <v>614.6</v>
      </c>
      <c r="E29" s="4">
        <v>619.41999999999996</v>
      </c>
      <c r="F29" s="4">
        <v>619.41999999999996</v>
      </c>
      <c r="G29" s="5">
        <v>17800000</v>
      </c>
    </row>
    <row r="30" spans="1:7" ht="15" customHeight="1" x14ac:dyDescent="0.25">
      <c r="A30" s="6" t="s">
        <v>35</v>
      </c>
      <c r="B30" s="7">
        <v>620.4</v>
      </c>
      <c r="C30" s="7">
        <v>626.79999999999995</v>
      </c>
      <c r="D30" s="7">
        <v>618.20000000000005</v>
      </c>
      <c r="E30" s="7">
        <v>622.73</v>
      </c>
      <c r="F30" s="7">
        <v>622.73</v>
      </c>
      <c r="G30" s="8">
        <v>15200000</v>
      </c>
    </row>
    <row r="31" spans="1:7" ht="15" customHeight="1" x14ac:dyDescent="0.25">
      <c r="A31" s="3" t="s">
        <v>36</v>
      </c>
      <c r="B31" s="4">
        <v>625.79999999999995</v>
      </c>
      <c r="C31" s="4">
        <v>632.5</v>
      </c>
      <c r="D31" s="4">
        <v>622.79999999999995</v>
      </c>
      <c r="E31" s="4">
        <v>629.78</v>
      </c>
      <c r="F31" s="4">
        <v>629.78</v>
      </c>
      <c r="G31" s="5">
        <v>19500000</v>
      </c>
    </row>
    <row r="32" spans="1:7" ht="15" customHeight="1" x14ac:dyDescent="0.25">
      <c r="A32" s="6" t="s">
        <v>37</v>
      </c>
      <c r="B32" s="7">
        <v>632.5</v>
      </c>
      <c r="C32" s="7">
        <v>638.79999999999995</v>
      </c>
      <c r="D32" s="7">
        <v>629.5</v>
      </c>
      <c r="E32" s="7">
        <v>636.20000000000005</v>
      </c>
      <c r="F32" s="7">
        <v>636.20000000000005</v>
      </c>
      <c r="G32" s="8">
        <v>16800000</v>
      </c>
    </row>
    <row r="33" spans="1:7" ht="15" customHeight="1" x14ac:dyDescent="0.25">
      <c r="A33" s="3" t="s">
        <v>38</v>
      </c>
      <c r="B33" s="4">
        <v>635.79999999999995</v>
      </c>
      <c r="C33" s="4">
        <v>641.20000000000005</v>
      </c>
      <c r="D33" s="4">
        <v>632.4</v>
      </c>
      <c r="E33" s="4">
        <v>638.63</v>
      </c>
      <c r="F33" s="4">
        <v>638.63</v>
      </c>
      <c r="G33" s="5">
        <v>18500000</v>
      </c>
    </row>
    <row r="34" spans="1:7" ht="15" customHeight="1" x14ac:dyDescent="0.25">
      <c r="A34" s="6" t="s">
        <v>39</v>
      </c>
      <c r="B34" s="7">
        <v>638.5</v>
      </c>
      <c r="C34" s="7">
        <v>645.79999999999995</v>
      </c>
      <c r="D34" s="7">
        <v>635.79999999999995</v>
      </c>
      <c r="E34" s="7">
        <v>643.71</v>
      </c>
      <c r="F34" s="7">
        <v>643.71</v>
      </c>
      <c r="G34" s="8">
        <v>21200000</v>
      </c>
    </row>
    <row r="35" spans="1:7" ht="15" customHeight="1" x14ac:dyDescent="0.25">
      <c r="A35" s="3" t="s">
        <v>40</v>
      </c>
      <c r="B35" s="4">
        <v>640.20000000000005</v>
      </c>
      <c r="C35" s="4">
        <v>648.5</v>
      </c>
      <c r="D35" s="4">
        <v>637.5</v>
      </c>
      <c r="E35" s="4">
        <v>645.84</v>
      </c>
      <c r="F35" s="4">
        <v>645.84</v>
      </c>
      <c r="G35" s="5">
        <v>17800000</v>
      </c>
    </row>
    <row r="36" spans="1:7" ht="15" customHeight="1" x14ac:dyDescent="0.25">
      <c r="A36" s="6" t="s">
        <v>41</v>
      </c>
      <c r="B36" s="7">
        <v>643.5</v>
      </c>
      <c r="C36" s="7">
        <v>651.20000000000005</v>
      </c>
      <c r="D36" s="7">
        <v>640.79999999999995</v>
      </c>
      <c r="E36" s="7">
        <v>649.22</v>
      </c>
      <c r="F36" s="7">
        <v>649.22</v>
      </c>
      <c r="G36" s="8">
        <v>16200000</v>
      </c>
    </row>
    <row r="37" spans="1:7" ht="15" customHeight="1" x14ac:dyDescent="0.25">
      <c r="A37" s="3" t="s">
        <v>42</v>
      </c>
      <c r="B37" s="4">
        <v>608.29999999999995</v>
      </c>
      <c r="C37" s="4">
        <v>615.79999999999995</v>
      </c>
      <c r="D37" s="4">
        <v>600.5</v>
      </c>
      <c r="E37" s="4">
        <v>606.86</v>
      </c>
      <c r="F37" s="4">
        <v>606.86</v>
      </c>
      <c r="G37" s="5">
        <v>25800000</v>
      </c>
    </row>
    <row r="38" spans="1:7" ht="15" customHeight="1" x14ac:dyDescent="0.25">
      <c r="A38" s="6" t="s">
        <v>43</v>
      </c>
      <c r="B38" s="7">
        <v>591.5</v>
      </c>
      <c r="C38" s="7">
        <v>596.5</v>
      </c>
      <c r="D38" s="7">
        <v>585.79999999999995</v>
      </c>
      <c r="E38" s="7">
        <v>590.54</v>
      </c>
      <c r="F38" s="7">
        <v>590.54</v>
      </c>
      <c r="G38" s="8">
        <v>29500000</v>
      </c>
    </row>
    <row r="39" spans="1:7" ht="15" customHeight="1" x14ac:dyDescent="0.25">
      <c r="A39" s="3" t="s">
        <v>44</v>
      </c>
      <c r="B39" s="4">
        <v>585.4</v>
      </c>
      <c r="C39" s="4">
        <v>591.20000000000005</v>
      </c>
      <c r="D39" s="4">
        <v>578.6</v>
      </c>
      <c r="E39" s="4">
        <v>583.47</v>
      </c>
      <c r="F39" s="4">
        <v>583.47</v>
      </c>
      <c r="G39" s="5">
        <v>22800000</v>
      </c>
    </row>
    <row r="40" spans="1:7" ht="15" customHeight="1" x14ac:dyDescent="0.25">
      <c r="A40" s="6" t="s">
        <v>45</v>
      </c>
      <c r="B40" s="7">
        <v>566.29999999999995</v>
      </c>
      <c r="C40" s="7">
        <v>571.79999999999995</v>
      </c>
      <c r="D40" s="7">
        <v>558.4</v>
      </c>
      <c r="E40" s="7">
        <v>562.89</v>
      </c>
      <c r="F40" s="7">
        <v>562.89</v>
      </c>
      <c r="G40" s="8">
        <v>35600000</v>
      </c>
    </row>
    <row r="41" spans="1:7" ht="15" customHeight="1" x14ac:dyDescent="0.25">
      <c r="A41" s="3" t="s">
        <v>46</v>
      </c>
      <c r="B41" s="4">
        <v>555.79999999999995</v>
      </c>
      <c r="C41" s="4">
        <v>562.4</v>
      </c>
      <c r="D41" s="4">
        <v>548.9</v>
      </c>
      <c r="E41" s="4">
        <v>554.37</v>
      </c>
      <c r="F41" s="4">
        <v>554.37</v>
      </c>
      <c r="G41" s="5">
        <v>29200000</v>
      </c>
    </row>
    <row r="42" spans="1:7" ht="15" customHeight="1" x14ac:dyDescent="0.25">
      <c r="A42" s="6" t="s">
        <v>47</v>
      </c>
      <c r="B42" s="7">
        <v>558.9</v>
      </c>
      <c r="C42" s="7">
        <v>565.79999999999995</v>
      </c>
      <c r="D42" s="7">
        <v>554.5</v>
      </c>
      <c r="E42" s="7">
        <v>560.82000000000005</v>
      </c>
      <c r="F42" s="7">
        <v>560.82000000000005</v>
      </c>
      <c r="G42" s="8">
        <v>12800000</v>
      </c>
    </row>
    <row r="43" spans="1:7" ht="15" customHeight="1" x14ac:dyDescent="0.25">
      <c r="A43" s="3" t="s">
        <v>48</v>
      </c>
      <c r="B43" s="4">
        <v>566.4</v>
      </c>
      <c r="C43" s="4">
        <v>572.5</v>
      </c>
      <c r="D43" s="4">
        <v>562.79999999999995</v>
      </c>
      <c r="E43" s="4">
        <v>568.30999999999995</v>
      </c>
      <c r="F43" s="4">
        <v>568.30999999999995</v>
      </c>
      <c r="G43" s="5">
        <v>9500000</v>
      </c>
    </row>
    <row r="44" spans="1:7" ht="15" customHeight="1" x14ac:dyDescent="0.25">
      <c r="A44" s="6" t="s">
        <v>49</v>
      </c>
      <c r="B44" s="7">
        <v>574.5</v>
      </c>
      <c r="C44" s="7">
        <v>580.20000000000005</v>
      </c>
      <c r="D44" s="7">
        <v>571.4</v>
      </c>
      <c r="E44" s="7">
        <v>577.04</v>
      </c>
      <c r="F44" s="7">
        <v>577.04</v>
      </c>
      <c r="G44" s="8">
        <v>14500000</v>
      </c>
    </row>
    <row r="45" spans="1:7" ht="15" customHeight="1" x14ac:dyDescent="0.25">
      <c r="A45" s="3" t="s">
        <v>50</v>
      </c>
      <c r="B45" s="4">
        <v>580.20000000000005</v>
      </c>
      <c r="C45" s="4">
        <v>586.5</v>
      </c>
      <c r="D45" s="4">
        <v>577.5</v>
      </c>
      <c r="E45" s="4">
        <v>582.11</v>
      </c>
      <c r="F45" s="4">
        <v>582.11</v>
      </c>
      <c r="G45" s="5">
        <v>15200000</v>
      </c>
    </row>
    <row r="46" spans="1:7" ht="15" customHeight="1" x14ac:dyDescent="0.25">
      <c r="A46" s="6" t="s">
        <v>51</v>
      </c>
      <c r="B46" s="7">
        <v>571.79999999999995</v>
      </c>
      <c r="C46" s="7">
        <v>576.79999999999995</v>
      </c>
      <c r="D46" s="7">
        <v>566.5</v>
      </c>
      <c r="E46" s="7">
        <v>569.91</v>
      </c>
      <c r="F46" s="7">
        <v>569.91</v>
      </c>
      <c r="G46" s="8">
        <v>16800000</v>
      </c>
    </row>
    <row r="47" spans="1:7" ht="15" customHeight="1" x14ac:dyDescent="0.25">
      <c r="A47" s="3" t="s">
        <v>52</v>
      </c>
      <c r="B47" s="4">
        <v>558.4</v>
      </c>
      <c r="C47" s="4">
        <v>562.29999999999995</v>
      </c>
      <c r="D47" s="4">
        <v>554.79999999999995</v>
      </c>
      <c r="E47" s="4">
        <v>557.29999999999995</v>
      </c>
      <c r="F47" s="4">
        <v>557.29999999999995</v>
      </c>
      <c r="G47" s="5">
        <v>19200000</v>
      </c>
    </row>
    <row r="48" spans="1:7" ht="15" customHeight="1" x14ac:dyDescent="0.25">
      <c r="A48" s="6" t="s">
        <v>53</v>
      </c>
      <c r="B48" s="7">
        <v>556.5</v>
      </c>
      <c r="C48" s="7">
        <v>560.79999999999995</v>
      </c>
      <c r="D48" s="7">
        <v>552.4</v>
      </c>
      <c r="E48" s="7">
        <v>557.48</v>
      </c>
      <c r="F48" s="7">
        <v>557.48</v>
      </c>
      <c r="G48" s="8">
        <v>22500000</v>
      </c>
    </row>
    <row r="49" spans="1:7" ht="15" customHeight="1" x14ac:dyDescent="0.25">
      <c r="A49" s="3" t="s">
        <v>54</v>
      </c>
      <c r="B49" s="4">
        <v>560.79999999999995</v>
      </c>
      <c r="C49" s="4">
        <v>567.4</v>
      </c>
      <c r="D49" s="4">
        <v>557.79999999999995</v>
      </c>
      <c r="E49" s="4">
        <v>563.07000000000005</v>
      </c>
      <c r="F49" s="4">
        <v>563.07000000000005</v>
      </c>
      <c r="G49" s="5">
        <v>18600000</v>
      </c>
    </row>
    <row r="50" spans="1:7" ht="15" customHeight="1" x14ac:dyDescent="0.25">
      <c r="A50" s="6" t="s">
        <v>55</v>
      </c>
      <c r="B50" s="7">
        <v>573.5</v>
      </c>
      <c r="C50" s="7">
        <v>582.5</v>
      </c>
      <c r="D50" s="7">
        <v>569.79999999999995</v>
      </c>
      <c r="E50" s="7">
        <v>577.59</v>
      </c>
      <c r="F50" s="7">
        <v>577.59</v>
      </c>
      <c r="G50" s="8">
        <v>25800000</v>
      </c>
    </row>
    <row r="51" spans="1:7" ht="15" customHeight="1" x14ac:dyDescent="0.25">
      <c r="A51" s="3" t="s">
        <v>56</v>
      </c>
      <c r="B51" s="4">
        <v>590.79999999999995</v>
      </c>
      <c r="C51" s="4">
        <v>598.79999999999995</v>
      </c>
      <c r="D51" s="4">
        <v>587.5</v>
      </c>
      <c r="E51" s="4">
        <v>596.59</v>
      </c>
      <c r="F51" s="4">
        <v>596.59</v>
      </c>
      <c r="G51" s="5">
        <v>28500000</v>
      </c>
    </row>
    <row r="52" spans="1:7" ht="15" customHeight="1" x14ac:dyDescent="0.25">
      <c r="A52" s="6" t="s">
        <v>57</v>
      </c>
      <c r="B52" s="7">
        <v>601.5</v>
      </c>
      <c r="C52" s="7">
        <v>610.5</v>
      </c>
      <c r="D52" s="7">
        <v>598.20000000000005</v>
      </c>
      <c r="E52" s="7">
        <v>606.94000000000005</v>
      </c>
      <c r="F52" s="7">
        <v>606.94000000000005</v>
      </c>
      <c r="G52" s="8">
        <v>23200000</v>
      </c>
    </row>
    <row r="53" spans="1:7" ht="15" customHeight="1" x14ac:dyDescent="0.25">
      <c r="A53" s="3" t="s">
        <v>58</v>
      </c>
      <c r="B53" s="4">
        <v>586.5</v>
      </c>
      <c r="C53" s="4">
        <v>596.79999999999995</v>
      </c>
      <c r="D53" s="4">
        <v>582.6</v>
      </c>
      <c r="E53" s="4">
        <v>590.03</v>
      </c>
      <c r="F53" s="4">
        <v>590.03</v>
      </c>
      <c r="G53" s="5">
        <v>31500000</v>
      </c>
    </row>
    <row r="54" spans="1:7" ht="15" customHeight="1" x14ac:dyDescent="0.25">
      <c r="A54" s="6" t="s">
        <v>59</v>
      </c>
      <c r="B54" s="7">
        <v>608.9</v>
      </c>
      <c r="C54" s="7">
        <v>618.5</v>
      </c>
      <c r="D54" s="7">
        <v>605.4</v>
      </c>
      <c r="E54" s="7">
        <v>614.97</v>
      </c>
      <c r="F54" s="7">
        <v>614.97</v>
      </c>
      <c r="G54" s="8">
        <v>25800000</v>
      </c>
    </row>
    <row r="55" spans="1:7" ht="15" customHeight="1" x14ac:dyDescent="0.25">
      <c r="A55" s="3" t="s">
        <v>60</v>
      </c>
      <c r="B55" s="4">
        <v>618.5</v>
      </c>
      <c r="C55" s="4">
        <v>628.4</v>
      </c>
      <c r="D55" s="4">
        <v>615.20000000000005</v>
      </c>
      <c r="E55" s="4">
        <v>626.28</v>
      </c>
      <c r="F55" s="4">
        <v>626.28</v>
      </c>
      <c r="G55" s="5">
        <v>19200000</v>
      </c>
    </row>
    <row r="56" spans="1:7" ht="15" customHeight="1" x14ac:dyDescent="0.25">
      <c r="A56" s="6" t="s">
        <v>61</v>
      </c>
      <c r="B56" s="7">
        <v>625.79999999999995</v>
      </c>
      <c r="C56" s="7">
        <v>636.79999999999995</v>
      </c>
      <c r="D56" s="7">
        <v>622.5</v>
      </c>
      <c r="E56" s="7">
        <v>634.89</v>
      </c>
      <c r="F56" s="7">
        <v>634.89</v>
      </c>
      <c r="G56" s="8">
        <v>16800000</v>
      </c>
    </row>
    <row r="57" spans="1:7" ht="15" customHeight="1" x14ac:dyDescent="0.25">
      <c r="A57" s="3" t="s">
        <v>62</v>
      </c>
      <c r="B57" s="4">
        <v>636.5</v>
      </c>
      <c r="C57" s="4">
        <v>646.5</v>
      </c>
      <c r="D57" s="4">
        <v>633.4</v>
      </c>
      <c r="E57" s="4">
        <v>644.52</v>
      </c>
      <c r="F57" s="4">
        <v>644.52</v>
      </c>
      <c r="G57" s="5">
        <v>18900000</v>
      </c>
    </row>
    <row r="58" spans="1:7" ht="15" customHeight="1" x14ac:dyDescent="0.25">
      <c r="A58" s="6" t="s">
        <v>63</v>
      </c>
      <c r="B58" s="7">
        <v>648.79999999999995</v>
      </c>
      <c r="C58" s="7">
        <v>658.8</v>
      </c>
      <c r="D58" s="7">
        <v>645.6</v>
      </c>
      <c r="E58" s="7">
        <v>656.38</v>
      </c>
      <c r="F58" s="7">
        <v>656.38</v>
      </c>
      <c r="G58" s="8">
        <v>15200000</v>
      </c>
    </row>
    <row r="59" spans="1:7" ht="15" customHeight="1" x14ac:dyDescent="0.25">
      <c r="A59" s="3" t="s">
        <v>64</v>
      </c>
      <c r="B59" s="4">
        <v>655.4</v>
      </c>
      <c r="C59" s="4">
        <v>665.5</v>
      </c>
      <c r="D59" s="4">
        <v>652.79999999999995</v>
      </c>
      <c r="E59" s="4">
        <v>662.47</v>
      </c>
      <c r="F59" s="4">
        <v>662.47</v>
      </c>
      <c r="G59" s="5">
        <v>13500000</v>
      </c>
    </row>
    <row r="60" spans="1:7" ht="15" customHeight="1" x14ac:dyDescent="0.25">
      <c r="A60" s="6" t="s">
        <v>65</v>
      </c>
      <c r="B60" s="7">
        <v>668.9</v>
      </c>
      <c r="C60" s="7">
        <v>678.9</v>
      </c>
      <c r="D60" s="7">
        <v>664.5</v>
      </c>
      <c r="E60" s="7">
        <v>675.82</v>
      </c>
      <c r="F60" s="7">
        <v>675.82</v>
      </c>
      <c r="G60" s="8">
        <v>16200000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zoomScaleNormal="100" workbookViewId="0">
      <selection sqref="A1:H1"/>
    </sheetView>
  </sheetViews>
  <sheetFormatPr defaultColWidth="8.7109375" defaultRowHeight="15" x14ac:dyDescent="0.25"/>
  <cols>
    <col min="1" max="8" width="22" style="1" customWidth="1"/>
  </cols>
  <sheetData>
    <row r="1" spans="1:8" ht="24" customHeight="1" x14ac:dyDescent="0.25">
      <c r="A1" s="47" t="s">
        <v>67</v>
      </c>
      <c r="B1" s="47"/>
      <c r="C1" s="47"/>
      <c r="D1" s="47"/>
      <c r="E1" s="47"/>
      <c r="F1" s="47"/>
      <c r="G1" s="47"/>
      <c r="H1" s="47"/>
    </row>
    <row r="2" spans="1:8" ht="15" customHeight="1" x14ac:dyDescent="0.25">
      <c r="A2" s="2" t="s">
        <v>1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</row>
    <row r="3" spans="1:8" ht="15" customHeight="1" x14ac:dyDescent="0.25">
      <c r="A3" s="9" t="s">
        <v>8</v>
      </c>
      <c r="B3" s="10">
        <v>174.81</v>
      </c>
      <c r="C3" s="10">
        <v>578.09</v>
      </c>
      <c r="D3" s="11" t="s">
        <v>74</v>
      </c>
      <c r="E3" s="11" t="s">
        <v>74</v>
      </c>
      <c r="F3" s="11" t="s">
        <v>74</v>
      </c>
      <c r="G3" s="11" t="s">
        <v>74</v>
      </c>
    </row>
    <row r="4" spans="1:8" ht="15" customHeight="1" x14ac:dyDescent="0.25">
      <c r="A4" s="6" t="s">
        <v>9</v>
      </c>
      <c r="B4" s="7">
        <v>174.95</v>
      </c>
      <c r="C4" s="7">
        <v>579.89</v>
      </c>
      <c r="D4" s="12">
        <f t="shared" ref="D4:D35" si="0">(B4-B3)/B3</f>
        <v>8.0086951547386504E-4</v>
      </c>
      <c r="E4" s="12">
        <f t="shared" ref="E4:E35" si="1">(C4-C3)/C3</f>
        <v>3.1137020187167299E-3</v>
      </c>
      <c r="F4" s="12">
        <f t="shared" ref="F4:F35" si="2">LN(B4)-LN(B3)</f>
        <v>8.0054899060488793E-4</v>
      </c>
      <c r="G4" s="12">
        <f t="shared" ref="G4:G35" si="3">LN(C4)-LN(C3)</f>
        <v>3.1088644877383942E-3</v>
      </c>
    </row>
    <row r="5" spans="1:8" ht="15" customHeight="1" x14ac:dyDescent="0.25">
      <c r="A5" s="3" t="s">
        <v>10</v>
      </c>
      <c r="B5" s="4">
        <v>172.95</v>
      </c>
      <c r="C5" s="4">
        <v>576.78</v>
      </c>
      <c r="D5" s="13">
        <f t="shared" si="0"/>
        <v>-1.1431837667905117E-2</v>
      </c>
      <c r="E5" s="13">
        <f t="shared" si="1"/>
        <v>-5.3630861025367113E-3</v>
      </c>
      <c r="F5" s="13">
        <f t="shared" si="2"/>
        <v>-1.1497683430519601E-2</v>
      </c>
      <c r="G5" s="13">
        <f t="shared" si="3"/>
        <v>-5.3775190754548063E-3</v>
      </c>
    </row>
    <row r="6" spans="1:8" ht="15" customHeight="1" x14ac:dyDescent="0.25">
      <c r="A6" s="6" t="s">
        <v>11</v>
      </c>
      <c r="B6" s="7">
        <v>172.96</v>
      </c>
      <c r="C6" s="7">
        <v>582.35</v>
      </c>
      <c r="D6" s="12">
        <f t="shared" si="0"/>
        <v>5.7820179242667406E-5</v>
      </c>
      <c r="E6" s="12">
        <f t="shared" si="1"/>
        <v>9.657061617948005E-3</v>
      </c>
      <c r="F6" s="12">
        <f t="shared" si="2"/>
        <v>5.7818507720241996E-5</v>
      </c>
      <c r="G6" s="12">
        <f t="shared" si="3"/>
        <v>9.6107302428807273E-3</v>
      </c>
    </row>
    <row r="7" spans="1:8" ht="15" customHeight="1" x14ac:dyDescent="0.25">
      <c r="A7" s="3" t="s">
        <v>12</v>
      </c>
      <c r="B7" s="4">
        <v>172.62</v>
      </c>
      <c r="C7" s="4">
        <v>584.42999999999995</v>
      </c>
      <c r="D7" s="13">
        <f t="shared" si="0"/>
        <v>-1.9657724329324895E-3</v>
      </c>
      <c r="E7" s="13">
        <f t="shared" si="1"/>
        <v>3.571735210783768E-3</v>
      </c>
      <c r="F7" s="13">
        <f t="shared" si="2"/>
        <v>-1.9677070993866508E-3</v>
      </c>
      <c r="G7" s="13">
        <f t="shared" si="3"/>
        <v>3.5653717125621043E-3</v>
      </c>
    </row>
    <row r="8" spans="1:8" ht="15" customHeight="1" x14ac:dyDescent="0.25">
      <c r="A8" s="6" t="s">
        <v>13</v>
      </c>
      <c r="B8" s="7">
        <v>173.48</v>
      </c>
      <c r="C8" s="7">
        <v>587.5</v>
      </c>
      <c r="D8" s="12">
        <f t="shared" si="0"/>
        <v>4.9820414783917572E-3</v>
      </c>
      <c r="E8" s="12">
        <f t="shared" si="1"/>
        <v>5.2529815375666035E-3</v>
      </c>
      <c r="F8" s="12">
        <f t="shared" si="2"/>
        <v>4.9696721756538054E-3</v>
      </c>
      <c r="G8" s="12">
        <f t="shared" si="3"/>
        <v>5.2392327570913722E-3</v>
      </c>
    </row>
    <row r="9" spans="1:8" ht="15" customHeight="1" x14ac:dyDescent="0.25">
      <c r="A9" s="3" t="s">
        <v>14</v>
      </c>
      <c r="B9" s="4">
        <v>175.83</v>
      </c>
      <c r="C9" s="4">
        <v>592.30999999999995</v>
      </c>
      <c r="D9" s="13">
        <f t="shared" si="0"/>
        <v>1.3546230112981455E-2</v>
      </c>
      <c r="E9" s="13">
        <f t="shared" si="1"/>
        <v>8.187234042553098E-3</v>
      </c>
      <c r="F9" s="13">
        <f t="shared" si="2"/>
        <v>1.345530018928276E-2</v>
      </c>
      <c r="G9" s="13">
        <f t="shared" si="3"/>
        <v>8.1539004582307228E-3</v>
      </c>
    </row>
    <row r="10" spans="1:8" ht="15" customHeight="1" x14ac:dyDescent="0.25">
      <c r="A10" s="6" t="s">
        <v>15</v>
      </c>
      <c r="B10" s="7">
        <v>174.81</v>
      </c>
      <c r="C10" s="7">
        <v>607.82000000000005</v>
      </c>
      <c r="D10" s="12">
        <f t="shared" si="0"/>
        <v>-5.8010578399591093E-3</v>
      </c>
      <c r="E10" s="12">
        <f t="shared" si="1"/>
        <v>2.6185612263848503E-2</v>
      </c>
      <c r="F10" s="12">
        <f t="shared" si="2"/>
        <v>-5.8179493333554433E-3</v>
      </c>
      <c r="G10" s="12">
        <f t="shared" si="3"/>
        <v>2.5848639025811693E-2</v>
      </c>
    </row>
    <row r="11" spans="1:8" ht="15" customHeight="1" x14ac:dyDescent="0.25">
      <c r="A11" s="3" t="s">
        <v>16</v>
      </c>
      <c r="B11" s="4">
        <v>177.5</v>
      </c>
      <c r="C11" s="4">
        <v>622.55999999999995</v>
      </c>
      <c r="D11" s="13">
        <f t="shared" si="0"/>
        <v>1.5388135690177895E-2</v>
      </c>
      <c r="E11" s="13">
        <f t="shared" si="1"/>
        <v>2.4250600506728792E-2</v>
      </c>
      <c r="F11" s="13">
        <f t="shared" si="2"/>
        <v>1.52709390923782E-2</v>
      </c>
      <c r="G11" s="13">
        <f t="shared" si="3"/>
        <v>2.3961223733887316E-2</v>
      </c>
    </row>
    <row r="12" spans="1:8" ht="15" customHeight="1" x14ac:dyDescent="0.25">
      <c r="A12" s="6" t="s">
        <v>17</v>
      </c>
      <c r="B12" s="7">
        <v>178.64</v>
      </c>
      <c r="C12" s="7">
        <v>630.24</v>
      </c>
      <c r="D12" s="12">
        <f t="shared" si="0"/>
        <v>6.4225352112675287E-3</v>
      </c>
      <c r="E12" s="12">
        <f t="shared" si="1"/>
        <v>1.2336160370084915E-2</v>
      </c>
      <c r="F12" s="12">
        <f t="shared" si="2"/>
        <v>6.4019986164316478E-3</v>
      </c>
      <c r="G12" s="12">
        <f t="shared" si="3"/>
        <v>1.2260689986351991E-2</v>
      </c>
    </row>
    <row r="13" spans="1:8" ht="15" customHeight="1" x14ac:dyDescent="0.25">
      <c r="A13" s="3" t="s">
        <v>18</v>
      </c>
      <c r="B13" s="4">
        <v>180.78</v>
      </c>
      <c r="C13" s="4">
        <v>633.72</v>
      </c>
      <c r="D13" s="13">
        <f t="shared" si="0"/>
        <v>1.1979399910434476E-2</v>
      </c>
      <c r="E13" s="13">
        <f t="shared" si="1"/>
        <v>5.5217060167555504E-3</v>
      </c>
      <c r="F13" s="13">
        <f t="shared" si="2"/>
        <v>1.1908214838362241E-2</v>
      </c>
      <c r="G13" s="13">
        <f t="shared" si="3"/>
        <v>5.5065172842461152E-3</v>
      </c>
    </row>
    <row r="14" spans="1:8" ht="15" customHeight="1" x14ac:dyDescent="0.25">
      <c r="A14" s="6" t="s">
        <v>19</v>
      </c>
      <c r="B14" s="7">
        <v>180.09</v>
      </c>
      <c r="C14" s="7">
        <v>629.14</v>
      </c>
      <c r="D14" s="12">
        <f t="shared" si="0"/>
        <v>-3.8167938931297583E-3</v>
      </c>
      <c r="E14" s="12">
        <f t="shared" si="1"/>
        <v>-7.2271665719876926E-3</v>
      </c>
      <c r="F14" s="12">
        <f t="shared" si="2"/>
        <v>-3.8240964384028686E-3</v>
      </c>
      <c r="G14" s="12">
        <f t="shared" si="3"/>
        <v>-7.2534090559637221E-3</v>
      </c>
    </row>
    <row r="15" spans="1:8" ht="15" customHeight="1" x14ac:dyDescent="0.25">
      <c r="A15" s="3" t="s">
        <v>20</v>
      </c>
      <c r="B15" s="4">
        <v>177.39</v>
      </c>
      <c r="C15" s="4">
        <v>611.84</v>
      </c>
      <c r="D15" s="13">
        <f t="shared" si="0"/>
        <v>-1.4992503748126031E-2</v>
      </c>
      <c r="E15" s="13">
        <f t="shared" si="1"/>
        <v>-2.7497854213688454E-2</v>
      </c>
      <c r="F15" s="13">
        <f t="shared" si="2"/>
        <v>-1.5106027431013302E-2</v>
      </c>
      <c r="G15" s="13">
        <f t="shared" si="3"/>
        <v>-2.788299702789665E-2</v>
      </c>
    </row>
    <row r="16" spans="1:8" ht="15" customHeight="1" x14ac:dyDescent="0.25">
      <c r="A16" s="6" t="s">
        <v>21</v>
      </c>
      <c r="B16" s="7">
        <v>177.88</v>
      </c>
      <c r="C16" s="7">
        <v>605.26</v>
      </c>
      <c r="D16" s="12">
        <f t="shared" si="0"/>
        <v>2.7622752128079889E-3</v>
      </c>
      <c r="E16" s="12">
        <f t="shared" si="1"/>
        <v>-1.0754445606694626E-2</v>
      </c>
      <c r="F16" s="12">
        <f t="shared" si="2"/>
        <v>2.7584671416471807E-3</v>
      </c>
      <c r="G16" s="12">
        <f t="shared" si="3"/>
        <v>-1.0812692642995891E-2</v>
      </c>
    </row>
    <row r="17" spans="1:7" ht="15" customHeight="1" x14ac:dyDescent="0.25">
      <c r="A17" s="3" t="s">
        <v>22</v>
      </c>
      <c r="B17" s="4">
        <v>176.55</v>
      </c>
      <c r="C17" s="4">
        <v>601.64</v>
      </c>
      <c r="D17" s="13">
        <f t="shared" si="0"/>
        <v>-7.4769507533167532E-3</v>
      </c>
      <c r="E17" s="13">
        <f t="shared" si="1"/>
        <v>-5.9809007699170684E-3</v>
      </c>
      <c r="F17" s="13">
        <f t="shared" si="2"/>
        <v>-7.5050432681003088E-3</v>
      </c>
      <c r="G17" s="13">
        <f t="shared" si="3"/>
        <v>-5.9988579929735053E-3</v>
      </c>
    </row>
    <row r="18" spans="1:7" ht="15" customHeight="1" x14ac:dyDescent="0.25">
      <c r="A18" s="6" t="s">
        <v>23</v>
      </c>
      <c r="B18" s="7">
        <v>178</v>
      </c>
      <c r="C18" s="7">
        <v>598.44000000000005</v>
      </c>
      <c r="D18" s="12">
        <f t="shared" si="0"/>
        <v>8.2129708297931942E-3</v>
      </c>
      <c r="E18" s="12">
        <f t="shared" si="1"/>
        <v>-5.3187952928660529E-3</v>
      </c>
      <c r="F18" s="12">
        <f t="shared" si="2"/>
        <v>8.1794279176898854E-3</v>
      </c>
      <c r="G18" s="12">
        <f t="shared" si="3"/>
        <v>-5.3329904409809004E-3</v>
      </c>
    </row>
    <row r="19" spans="1:7" ht="15" customHeight="1" x14ac:dyDescent="0.25">
      <c r="A19" s="3" t="s">
        <v>24</v>
      </c>
      <c r="B19" s="4">
        <v>178.87</v>
      </c>
      <c r="C19" s="4">
        <v>600.98</v>
      </c>
      <c r="D19" s="13">
        <f t="shared" si="0"/>
        <v>4.8876404494382275E-3</v>
      </c>
      <c r="E19" s="13">
        <f t="shared" si="1"/>
        <v>4.2443686919322963E-3</v>
      </c>
      <c r="F19" s="13">
        <f t="shared" si="2"/>
        <v>4.8757347130692352E-3</v>
      </c>
      <c r="G19" s="13">
        <f t="shared" si="3"/>
        <v>4.2353867652398236E-3</v>
      </c>
    </row>
    <row r="20" spans="1:7" ht="15" customHeight="1" x14ac:dyDescent="0.25">
      <c r="A20" s="6" t="s">
        <v>25</v>
      </c>
      <c r="B20" s="7">
        <v>180.6</v>
      </c>
      <c r="C20" s="7">
        <v>606.44000000000005</v>
      </c>
      <c r="D20" s="12">
        <f t="shared" si="0"/>
        <v>9.6718287024095146E-3</v>
      </c>
      <c r="E20" s="12">
        <f t="shared" si="1"/>
        <v>9.0851609038570934E-3</v>
      </c>
      <c r="F20" s="12">
        <f t="shared" si="2"/>
        <v>9.6253559777306208E-3</v>
      </c>
      <c r="G20" s="12">
        <f t="shared" si="3"/>
        <v>9.0441391021096607E-3</v>
      </c>
    </row>
    <row r="21" spans="1:7" ht="15" customHeight="1" x14ac:dyDescent="0.25">
      <c r="A21" s="3" t="s">
        <v>26</v>
      </c>
      <c r="B21" s="4">
        <v>181.94</v>
      </c>
      <c r="C21" s="4">
        <v>612.9</v>
      </c>
      <c r="D21" s="13">
        <f t="shared" si="0"/>
        <v>7.4197120708748808E-3</v>
      </c>
      <c r="E21" s="13">
        <f t="shared" si="1"/>
        <v>1.0652331640392986E-2</v>
      </c>
      <c r="F21" s="13">
        <f t="shared" si="2"/>
        <v>7.3923214110305224E-3</v>
      </c>
      <c r="G21" s="13">
        <f t="shared" si="3"/>
        <v>1.0595995278305459E-2</v>
      </c>
    </row>
    <row r="22" spans="1:7" ht="15" customHeight="1" x14ac:dyDescent="0.25">
      <c r="A22" s="6" t="s">
        <v>27</v>
      </c>
      <c r="B22" s="7">
        <v>184.78</v>
      </c>
      <c r="C22" s="7">
        <v>618.52</v>
      </c>
      <c r="D22" s="12">
        <f t="shared" si="0"/>
        <v>1.5609541607123247E-2</v>
      </c>
      <c r="E22" s="12">
        <f t="shared" si="1"/>
        <v>9.1695219448523491E-3</v>
      </c>
      <c r="F22" s="12">
        <f t="shared" si="2"/>
        <v>1.5488965848684089E-2</v>
      </c>
      <c r="G22" s="12">
        <f t="shared" si="3"/>
        <v>9.1277371155431553E-3</v>
      </c>
    </row>
    <row r="23" spans="1:7" ht="15" customHeight="1" x14ac:dyDescent="0.25">
      <c r="A23" s="3" t="s">
        <v>28</v>
      </c>
      <c r="B23" s="4">
        <v>186.35</v>
      </c>
      <c r="C23" s="4">
        <v>625.79999999999995</v>
      </c>
      <c r="D23" s="13">
        <f t="shared" si="0"/>
        <v>8.4965905401017065E-3</v>
      </c>
      <c r="E23" s="13">
        <f t="shared" si="1"/>
        <v>1.177003168854681E-2</v>
      </c>
      <c r="F23" s="13">
        <f t="shared" si="2"/>
        <v>8.4606976826675506E-3</v>
      </c>
      <c r="G23" s="13">
        <f t="shared" si="3"/>
        <v>1.1701303627551951E-2</v>
      </c>
    </row>
    <row r="24" spans="1:7" ht="15" customHeight="1" x14ac:dyDescent="0.25">
      <c r="A24" s="6" t="s">
        <v>29</v>
      </c>
      <c r="B24" s="7">
        <v>186.49</v>
      </c>
      <c r="C24" s="7">
        <v>625.38</v>
      </c>
      <c r="D24" s="12">
        <f t="shared" si="0"/>
        <v>7.5127448349887192E-4</v>
      </c>
      <c r="E24" s="12">
        <f t="shared" si="1"/>
        <v>-6.7114093959725013E-4</v>
      </c>
      <c r="F24" s="12">
        <f t="shared" si="2"/>
        <v>7.5099241808818107E-4</v>
      </c>
      <c r="G24" s="12">
        <f t="shared" si="3"/>
        <v>-6.7136625549490958E-4</v>
      </c>
    </row>
    <row r="25" spans="1:7" ht="15" customHeight="1" x14ac:dyDescent="0.25">
      <c r="A25" s="3" t="s">
        <v>30</v>
      </c>
      <c r="B25" s="4">
        <v>186.99</v>
      </c>
      <c r="C25" s="4">
        <v>628.79</v>
      </c>
      <c r="D25" s="13">
        <f t="shared" si="0"/>
        <v>2.6811089066437876E-3</v>
      </c>
      <c r="E25" s="13">
        <f t="shared" si="1"/>
        <v>5.4526847676612108E-3</v>
      </c>
      <c r="F25" s="13">
        <f t="shared" si="2"/>
        <v>2.6775211455136727E-3</v>
      </c>
      <c r="G25" s="13">
        <f t="shared" si="3"/>
        <v>5.437872701363311E-3</v>
      </c>
    </row>
    <row r="26" spans="1:7" ht="15" customHeight="1" x14ac:dyDescent="0.25">
      <c r="A26" s="6" t="s">
        <v>31</v>
      </c>
      <c r="B26" s="7">
        <v>186.72</v>
      </c>
      <c r="C26" s="7">
        <v>627.29</v>
      </c>
      <c r="D26" s="12">
        <f t="shared" si="0"/>
        <v>-1.443927482753143E-3</v>
      </c>
      <c r="E26" s="12">
        <f t="shared" si="1"/>
        <v>-2.385534121089712E-3</v>
      </c>
      <c r="F26" s="12">
        <f t="shared" si="2"/>
        <v>-1.4449709506232367E-3</v>
      </c>
      <c r="G26" s="12">
        <f t="shared" si="3"/>
        <v>-2.3883840409002488E-3</v>
      </c>
    </row>
    <row r="27" spans="1:7" ht="15" customHeight="1" x14ac:dyDescent="0.25">
      <c r="A27" s="3" t="s">
        <v>32</v>
      </c>
      <c r="B27" s="4">
        <v>183.89</v>
      </c>
      <c r="C27" s="4">
        <v>620.53</v>
      </c>
      <c r="D27" s="13">
        <f t="shared" si="0"/>
        <v>-1.5156383890317119E-2</v>
      </c>
      <c r="E27" s="13">
        <f t="shared" si="1"/>
        <v>-1.0776514849591084E-2</v>
      </c>
      <c r="F27" s="13">
        <f t="shared" si="2"/>
        <v>-1.5272415785483773E-2</v>
      </c>
      <c r="G27" s="13">
        <f t="shared" si="3"/>
        <v>-1.0835002057453913E-2</v>
      </c>
    </row>
    <row r="28" spans="1:7" ht="15" customHeight="1" x14ac:dyDescent="0.25">
      <c r="A28" s="6" t="s">
        <v>33</v>
      </c>
      <c r="B28" s="7">
        <v>184.23</v>
      </c>
      <c r="C28" s="7">
        <v>616.42999999999995</v>
      </c>
      <c r="D28" s="12">
        <f t="shared" si="0"/>
        <v>1.8489314263962339E-3</v>
      </c>
      <c r="E28" s="12">
        <f t="shared" si="1"/>
        <v>-6.6072550883922174E-3</v>
      </c>
      <c r="F28" s="12">
        <f t="shared" si="2"/>
        <v>1.8472242566556218E-3</v>
      </c>
      <c r="G28" s="12">
        <f t="shared" si="3"/>
        <v>-6.6291796256630064E-3</v>
      </c>
    </row>
    <row r="29" spans="1:7" ht="15" customHeight="1" x14ac:dyDescent="0.25">
      <c r="A29" s="3" t="s">
        <v>34</v>
      </c>
      <c r="B29" s="4">
        <v>185.22</v>
      </c>
      <c r="C29" s="4">
        <v>619.41999999999996</v>
      </c>
      <c r="D29" s="13">
        <f t="shared" si="0"/>
        <v>5.3737176355642896E-3</v>
      </c>
      <c r="E29" s="13">
        <f t="shared" si="1"/>
        <v>4.850510195804892E-3</v>
      </c>
      <c r="F29" s="13">
        <f t="shared" si="2"/>
        <v>5.3593307327055584E-3</v>
      </c>
      <c r="G29" s="13">
        <f t="shared" si="3"/>
        <v>4.8387843734190028E-3</v>
      </c>
    </row>
    <row r="30" spans="1:7" ht="15" customHeight="1" x14ac:dyDescent="0.25">
      <c r="A30" s="6" t="s">
        <v>35</v>
      </c>
      <c r="B30" s="7">
        <v>186.29</v>
      </c>
      <c r="C30" s="7">
        <v>622.73</v>
      </c>
      <c r="D30" s="12">
        <f t="shared" si="0"/>
        <v>5.7769139401792095E-3</v>
      </c>
      <c r="E30" s="12">
        <f t="shared" si="1"/>
        <v>5.3437086306545789E-3</v>
      </c>
      <c r="F30" s="12">
        <f t="shared" si="2"/>
        <v>5.7602915594943127E-3</v>
      </c>
      <c r="G30" s="12">
        <f t="shared" si="3"/>
        <v>5.3294816803024503E-3</v>
      </c>
    </row>
    <row r="31" spans="1:7" ht="15" customHeight="1" x14ac:dyDescent="0.25">
      <c r="A31" s="3" t="s">
        <v>36</v>
      </c>
      <c r="B31" s="4">
        <v>188.24</v>
      </c>
      <c r="C31" s="4">
        <v>629.78</v>
      </c>
      <c r="D31" s="13">
        <f t="shared" si="0"/>
        <v>1.0467550593161292E-2</v>
      </c>
      <c r="E31" s="13">
        <f t="shared" si="1"/>
        <v>1.1321118301671599E-2</v>
      </c>
      <c r="F31" s="13">
        <f t="shared" si="2"/>
        <v>1.0413145117489364E-2</v>
      </c>
      <c r="G31" s="13">
        <f t="shared" si="3"/>
        <v>1.1257514039282768E-2</v>
      </c>
    </row>
    <row r="32" spans="1:7" ht="15" customHeight="1" x14ac:dyDescent="0.25">
      <c r="A32" s="6" t="s">
        <v>37</v>
      </c>
      <c r="B32" s="7">
        <v>189.86</v>
      </c>
      <c r="C32" s="7">
        <v>636.20000000000005</v>
      </c>
      <c r="D32" s="12">
        <f t="shared" si="0"/>
        <v>8.6060348491287953E-3</v>
      </c>
      <c r="E32" s="12">
        <f t="shared" si="1"/>
        <v>1.0194036012575937E-2</v>
      </c>
      <c r="F32" s="12">
        <f t="shared" si="2"/>
        <v>8.5692140345461354E-3</v>
      </c>
      <c r="G32" s="12">
        <f t="shared" si="3"/>
        <v>1.014242726540715E-2</v>
      </c>
    </row>
    <row r="33" spans="1:7" ht="15" customHeight="1" x14ac:dyDescent="0.25">
      <c r="A33" s="3" t="s">
        <v>38</v>
      </c>
      <c r="B33" s="4">
        <v>190.14</v>
      </c>
      <c r="C33" s="4">
        <v>638.63</v>
      </c>
      <c r="D33" s="13">
        <f t="shared" si="0"/>
        <v>1.4747708838089787E-3</v>
      </c>
      <c r="E33" s="13">
        <f t="shared" si="1"/>
        <v>3.8195535994969346E-3</v>
      </c>
      <c r="F33" s="13">
        <f t="shared" si="2"/>
        <v>1.4736844772311741E-3</v>
      </c>
      <c r="G33" s="13">
        <f t="shared" si="3"/>
        <v>3.8122776260758329E-3</v>
      </c>
    </row>
    <row r="34" spans="1:7" ht="15" customHeight="1" x14ac:dyDescent="0.25">
      <c r="A34" s="6" t="s">
        <v>39</v>
      </c>
      <c r="B34" s="7">
        <v>191.88</v>
      </c>
      <c r="C34" s="7">
        <v>643.71</v>
      </c>
      <c r="D34" s="12">
        <f t="shared" si="0"/>
        <v>9.1511517828968617E-3</v>
      </c>
      <c r="E34" s="12">
        <f t="shared" si="1"/>
        <v>7.954527660773909E-3</v>
      </c>
      <c r="F34" s="12">
        <f t="shared" si="2"/>
        <v>9.1095337029791779E-3</v>
      </c>
      <c r="G34" s="12">
        <f t="shared" si="3"/>
        <v>7.92305718398012E-3</v>
      </c>
    </row>
    <row r="35" spans="1:7" ht="15" customHeight="1" x14ac:dyDescent="0.25">
      <c r="A35" s="3" t="s">
        <v>40</v>
      </c>
      <c r="B35" s="4">
        <v>192.08</v>
      </c>
      <c r="C35" s="4">
        <v>645.84</v>
      </c>
      <c r="D35" s="13">
        <f t="shared" si="0"/>
        <v>1.0423181154889361E-3</v>
      </c>
      <c r="E35" s="13">
        <f t="shared" si="1"/>
        <v>3.3089434683320055E-3</v>
      </c>
      <c r="F35" s="13">
        <f t="shared" si="2"/>
        <v>1.0417752791349599E-3</v>
      </c>
      <c r="G35" s="13">
        <f t="shared" si="3"/>
        <v>3.3034809616605543E-3</v>
      </c>
    </row>
    <row r="36" spans="1:7" ht="15" customHeight="1" x14ac:dyDescent="0.25">
      <c r="A36" s="6" t="s">
        <v>41</v>
      </c>
      <c r="B36" s="7">
        <v>193.56</v>
      </c>
      <c r="C36" s="7">
        <v>649.22</v>
      </c>
      <c r="D36" s="12">
        <f t="shared" ref="D36:D60" si="4">(B36-B35)/B35</f>
        <v>7.7051228654726658E-3</v>
      </c>
      <c r="E36" s="12">
        <f t="shared" ref="E36:E60" si="5">(C36-C35)/C35</f>
        <v>5.2334943639291394E-3</v>
      </c>
      <c r="F36" s="12">
        <f t="shared" ref="F36:F60" si="6">LN(B36)-LN(B35)</f>
        <v>7.6755900121199261E-3</v>
      </c>
      <c r="G36" s="12">
        <f t="shared" ref="G36:G60" si="7">LN(C36)-LN(C35)</f>
        <v>5.2198472264040063E-3</v>
      </c>
    </row>
    <row r="37" spans="1:7" ht="15" customHeight="1" x14ac:dyDescent="0.25">
      <c r="A37" s="3" t="s">
        <v>42</v>
      </c>
      <c r="B37" s="4">
        <v>195.82</v>
      </c>
      <c r="C37" s="4">
        <v>606.86</v>
      </c>
      <c r="D37" s="13">
        <f t="shared" si="4"/>
        <v>1.1675966108700097E-2</v>
      </c>
      <c r="E37" s="13">
        <f t="shared" si="5"/>
        <v>-6.5247527802593894E-2</v>
      </c>
      <c r="F37" s="13">
        <f t="shared" si="6"/>
        <v>1.16083280008068E-2</v>
      </c>
      <c r="G37" s="13">
        <f t="shared" si="7"/>
        <v>-6.7473520359857098E-2</v>
      </c>
    </row>
    <row r="38" spans="1:7" ht="15" customHeight="1" x14ac:dyDescent="0.25">
      <c r="A38" s="6" t="s">
        <v>43</v>
      </c>
      <c r="B38" s="7">
        <v>191.95</v>
      </c>
      <c r="C38" s="7">
        <v>590.54</v>
      </c>
      <c r="D38" s="12">
        <f t="shared" si="4"/>
        <v>-1.9763047696864492E-2</v>
      </c>
      <c r="E38" s="12">
        <f t="shared" si="5"/>
        <v>-2.6892528754572799E-2</v>
      </c>
      <c r="F38" s="12">
        <f t="shared" si="6"/>
        <v>-1.9960948479118557E-2</v>
      </c>
      <c r="G38" s="12">
        <f t="shared" si="7"/>
        <v>-2.7260749406022633E-2</v>
      </c>
    </row>
    <row r="39" spans="1:7" ht="15" customHeight="1" x14ac:dyDescent="0.25">
      <c r="A39" s="3" t="s">
        <v>44</v>
      </c>
      <c r="B39" s="4">
        <v>192.58</v>
      </c>
      <c r="C39" s="4">
        <v>583.47</v>
      </c>
      <c r="D39" s="13">
        <f t="shared" si="4"/>
        <v>3.2821047147695956E-3</v>
      </c>
      <c r="E39" s="13">
        <f t="shared" si="5"/>
        <v>-1.1972093338300431E-2</v>
      </c>
      <c r="F39" s="13">
        <f t="shared" si="6"/>
        <v>3.2767303653313817E-3</v>
      </c>
      <c r="G39" s="13">
        <f t="shared" si="7"/>
        <v>-1.2044336024160884E-2</v>
      </c>
    </row>
    <row r="40" spans="1:7" ht="15" customHeight="1" x14ac:dyDescent="0.25">
      <c r="A40" s="6" t="s">
        <v>45</v>
      </c>
      <c r="B40" s="7">
        <v>186.29</v>
      </c>
      <c r="C40" s="7">
        <v>562.89</v>
      </c>
      <c r="D40" s="12">
        <f t="shared" si="4"/>
        <v>-3.2661750960639835E-2</v>
      </c>
      <c r="E40" s="12">
        <f t="shared" si="5"/>
        <v>-3.5271736336058478E-2</v>
      </c>
      <c r="F40" s="12">
        <f t="shared" si="6"/>
        <v>-3.3207052510520363E-2</v>
      </c>
      <c r="G40" s="12">
        <f t="shared" si="7"/>
        <v>-3.5908809355730931E-2</v>
      </c>
    </row>
    <row r="41" spans="1:7" ht="15" customHeight="1" x14ac:dyDescent="0.25">
      <c r="A41" s="3" t="s">
        <v>46</v>
      </c>
      <c r="B41" s="4">
        <v>183.73</v>
      </c>
      <c r="C41" s="4">
        <v>554.37</v>
      </c>
      <c r="D41" s="13">
        <f t="shared" si="4"/>
        <v>-1.3742015137688563E-2</v>
      </c>
      <c r="E41" s="13">
        <f t="shared" si="5"/>
        <v>-1.5136172253903927E-2</v>
      </c>
      <c r="F41" s="13">
        <f t="shared" si="6"/>
        <v>-1.3837310669973846E-2</v>
      </c>
      <c r="G41" s="13">
        <f t="shared" si="7"/>
        <v>-1.5251893309948805E-2</v>
      </c>
    </row>
    <row r="42" spans="1:7" ht="15" customHeight="1" x14ac:dyDescent="0.25">
      <c r="A42" s="6" t="s">
        <v>47</v>
      </c>
      <c r="B42" s="7">
        <v>183.35</v>
      </c>
      <c r="C42" s="7">
        <v>560.82000000000005</v>
      </c>
      <c r="D42" s="12">
        <f t="shared" si="4"/>
        <v>-2.0682523267838431E-3</v>
      </c>
      <c r="E42" s="12">
        <f t="shared" si="5"/>
        <v>1.1634828724498161E-2</v>
      </c>
      <c r="F42" s="12">
        <f t="shared" si="6"/>
        <v>-2.0703941143089821E-3</v>
      </c>
      <c r="G42" s="12">
        <f t="shared" si="7"/>
        <v>1.1567664565102831E-2</v>
      </c>
    </row>
    <row r="43" spans="1:7" ht="15" customHeight="1" x14ac:dyDescent="0.25">
      <c r="A43" s="3" t="s">
        <v>48</v>
      </c>
      <c r="B43" s="4">
        <v>184.19</v>
      </c>
      <c r="C43" s="4">
        <v>568.30999999999995</v>
      </c>
      <c r="D43" s="13">
        <f t="shared" si="4"/>
        <v>4.5814016907554048E-3</v>
      </c>
      <c r="E43" s="13">
        <f t="shared" si="5"/>
        <v>1.3355443814414419E-2</v>
      </c>
      <c r="F43" s="13">
        <f t="shared" si="6"/>
        <v>4.570939013676778E-3</v>
      </c>
      <c r="G43" s="13">
        <f t="shared" si="7"/>
        <v>1.3267046065676524E-2</v>
      </c>
    </row>
    <row r="44" spans="1:7" ht="15" customHeight="1" x14ac:dyDescent="0.25">
      <c r="A44" s="6" t="s">
        <v>49</v>
      </c>
      <c r="B44" s="7">
        <v>185.51</v>
      </c>
      <c r="C44" s="7">
        <v>577.04</v>
      </c>
      <c r="D44" s="12">
        <f t="shared" si="4"/>
        <v>7.1665128400021346E-3</v>
      </c>
      <c r="E44" s="12">
        <f t="shared" si="5"/>
        <v>1.5361334482940681E-2</v>
      </c>
      <c r="F44" s="12">
        <f t="shared" si="6"/>
        <v>7.1409554192705116E-3</v>
      </c>
      <c r="G44" s="12">
        <f t="shared" si="7"/>
        <v>1.5244543707193969E-2</v>
      </c>
    </row>
    <row r="45" spans="1:7" ht="15" customHeight="1" x14ac:dyDescent="0.25">
      <c r="A45" s="3" t="s">
        <v>50</v>
      </c>
      <c r="B45" s="4">
        <v>186.32</v>
      </c>
      <c r="C45" s="4">
        <v>582.11</v>
      </c>
      <c r="D45" s="13">
        <f t="shared" si="4"/>
        <v>4.3663414371193053E-3</v>
      </c>
      <c r="E45" s="13">
        <f t="shared" si="5"/>
        <v>8.7862193262166401E-3</v>
      </c>
      <c r="F45" s="13">
        <f t="shared" si="6"/>
        <v>4.3568366258037727E-3</v>
      </c>
      <c r="G45" s="13">
        <f t="shared" si="7"/>
        <v>8.7478451135476476E-3</v>
      </c>
    </row>
    <row r="46" spans="1:7" ht="15" customHeight="1" x14ac:dyDescent="0.25">
      <c r="A46" s="6" t="s">
        <v>51</v>
      </c>
      <c r="B46" s="7">
        <v>183.46</v>
      </c>
      <c r="C46" s="7">
        <v>569.91</v>
      </c>
      <c r="D46" s="12">
        <f t="shared" si="4"/>
        <v>-1.5349935594675748E-2</v>
      </c>
      <c r="E46" s="12">
        <f t="shared" si="5"/>
        <v>-2.095823813368615E-2</v>
      </c>
      <c r="F46" s="12">
        <f t="shared" si="6"/>
        <v>-1.5468965494576103E-2</v>
      </c>
      <c r="G46" s="12">
        <f t="shared" si="7"/>
        <v>-2.118097968389776E-2</v>
      </c>
    </row>
    <row r="47" spans="1:7" ht="15" customHeight="1" x14ac:dyDescent="0.25">
      <c r="A47" s="3" t="s">
        <v>52</v>
      </c>
      <c r="B47" s="4">
        <v>180.68</v>
      </c>
      <c r="C47" s="4">
        <v>557.29999999999995</v>
      </c>
      <c r="D47" s="13">
        <f t="shared" si="4"/>
        <v>-1.5153166902867115E-2</v>
      </c>
      <c r="E47" s="13">
        <f t="shared" si="5"/>
        <v>-2.2126300643961351E-2</v>
      </c>
      <c r="F47" s="13">
        <f t="shared" si="6"/>
        <v>-1.5269149295106033E-2</v>
      </c>
      <c r="G47" s="13">
        <f t="shared" si="7"/>
        <v>-2.2374759049577087E-2</v>
      </c>
    </row>
    <row r="48" spans="1:7" ht="15" customHeight="1" x14ac:dyDescent="0.25">
      <c r="A48" s="6" t="s">
        <v>53</v>
      </c>
      <c r="B48" s="7">
        <v>180.93</v>
      </c>
      <c r="C48" s="7">
        <v>557.48</v>
      </c>
      <c r="D48" s="12">
        <f t="shared" si="4"/>
        <v>1.383661722382112E-3</v>
      </c>
      <c r="E48" s="12">
        <f t="shared" si="5"/>
        <v>3.2298582451114959E-4</v>
      </c>
      <c r="F48" s="12">
        <f t="shared" si="6"/>
        <v>1.3827053446018311E-3</v>
      </c>
      <c r="G48" s="12">
        <f t="shared" si="7"/>
        <v>3.2293367581903709E-4</v>
      </c>
    </row>
    <row r="49" spans="1:7" ht="15" customHeight="1" x14ac:dyDescent="0.25">
      <c r="A49" s="3" t="s">
        <v>54</v>
      </c>
      <c r="B49" s="4">
        <v>182.11</v>
      </c>
      <c r="C49" s="4">
        <v>563.07000000000005</v>
      </c>
      <c r="D49" s="13">
        <f t="shared" si="4"/>
        <v>6.5218592825955161E-3</v>
      </c>
      <c r="E49" s="13">
        <f t="shared" si="5"/>
        <v>1.0027265552127487E-2</v>
      </c>
      <c r="F49" s="13">
        <f t="shared" si="6"/>
        <v>6.5006839767232094E-3</v>
      </c>
      <c r="G49" s="13">
        <f t="shared" si="7"/>
        <v>9.9773260849591594E-3</v>
      </c>
    </row>
    <row r="50" spans="1:7" ht="15" customHeight="1" x14ac:dyDescent="0.25">
      <c r="A50" s="6" t="s">
        <v>55</v>
      </c>
      <c r="B50" s="7">
        <v>185.96</v>
      </c>
      <c r="C50" s="7">
        <v>577.59</v>
      </c>
      <c r="D50" s="12">
        <f t="shared" si="4"/>
        <v>2.1141068584921169E-2</v>
      </c>
      <c r="E50" s="12">
        <f t="shared" si="5"/>
        <v>2.578720230166761E-2</v>
      </c>
      <c r="F50" s="12">
        <f t="shared" si="6"/>
        <v>2.0920696714655129E-2</v>
      </c>
      <c r="G50" s="12">
        <f t="shared" si="7"/>
        <v>2.5460320073085185E-2</v>
      </c>
    </row>
    <row r="51" spans="1:7" ht="15" customHeight="1" x14ac:dyDescent="0.25">
      <c r="A51" s="3" t="s">
        <v>56</v>
      </c>
      <c r="B51" s="4">
        <v>188.37</v>
      </c>
      <c r="C51" s="4">
        <v>596.59</v>
      </c>
      <c r="D51" s="13">
        <f t="shared" si="4"/>
        <v>1.2959776295977611E-2</v>
      </c>
      <c r="E51" s="13">
        <f t="shared" si="5"/>
        <v>3.2895306359182114E-2</v>
      </c>
      <c r="F51" s="13">
        <f t="shared" si="6"/>
        <v>1.2876516971743968E-2</v>
      </c>
      <c r="G51" s="13">
        <f t="shared" si="7"/>
        <v>3.236583588147024E-2</v>
      </c>
    </row>
    <row r="52" spans="1:7" ht="15" customHeight="1" x14ac:dyDescent="0.25">
      <c r="A52" s="6" t="s">
        <v>57</v>
      </c>
      <c r="B52" s="7">
        <v>189.72</v>
      </c>
      <c r="C52" s="7">
        <v>606.94000000000005</v>
      </c>
      <c r="D52" s="12">
        <f t="shared" si="4"/>
        <v>7.1667462971810496E-3</v>
      </c>
      <c r="E52" s="12">
        <f t="shared" si="5"/>
        <v>1.7348597864530118E-2</v>
      </c>
      <c r="F52" s="12">
        <f t="shared" si="6"/>
        <v>7.1411872152529199E-3</v>
      </c>
      <c r="G52" s="12">
        <f t="shared" si="7"/>
        <v>1.7199829095529751E-2</v>
      </c>
    </row>
    <row r="53" spans="1:7" ht="15" customHeight="1" x14ac:dyDescent="0.25">
      <c r="A53" s="3" t="s">
        <v>58</v>
      </c>
      <c r="B53" s="4">
        <v>185.86</v>
      </c>
      <c r="C53" s="4">
        <v>590.03</v>
      </c>
      <c r="D53" s="13">
        <f t="shared" si="4"/>
        <v>-2.0345772717689149E-2</v>
      </c>
      <c r="E53" s="13">
        <f t="shared" si="5"/>
        <v>-2.7861073582232315E-2</v>
      </c>
      <c r="F53" s="13">
        <f t="shared" si="6"/>
        <v>-2.0555598880187098E-2</v>
      </c>
      <c r="G53" s="13">
        <f t="shared" si="7"/>
        <v>-2.8256556321649029E-2</v>
      </c>
    </row>
    <row r="54" spans="1:7" ht="15" customHeight="1" x14ac:dyDescent="0.25">
      <c r="A54" s="6" t="s">
        <v>59</v>
      </c>
      <c r="B54" s="7">
        <v>190.25</v>
      </c>
      <c r="C54" s="7">
        <v>614.97</v>
      </c>
      <c r="D54" s="12">
        <f t="shared" si="4"/>
        <v>2.3619928978801174E-2</v>
      </c>
      <c r="E54" s="12">
        <f t="shared" si="5"/>
        <v>4.226903716760174E-2</v>
      </c>
      <c r="F54" s="12">
        <f t="shared" si="6"/>
        <v>2.3345294612601819E-2</v>
      </c>
      <c r="G54" s="12">
        <f t="shared" si="7"/>
        <v>4.1400103064201943E-2</v>
      </c>
    </row>
    <row r="55" spans="1:7" ht="15" customHeight="1" x14ac:dyDescent="0.25">
      <c r="A55" s="3" t="s">
        <v>60</v>
      </c>
      <c r="B55" s="4">
        <v>191.55</v>
      </c>
      <c r="C55" s="4">
        <v>626.28</v>
      </c>
      <c r="D55" s="13">
        <f t="shared" si="4"/>
        <v>6.8331143232589295E-3</v>
      </c>
      <c r="E55" s="13">
        <f t="shared" si="5"/>
        <v>1.839114103126973E-2</v>
      </c>
      <c r="F55" s="13">
        <f t="shared" si="6"/>
        <v>6.8098744048628035E-3</v>
      </c>
      <c r="G55" s="13">
        <f t="shared" si="7"/>
        <v>1.8224069314415559E-2</v>
      </c>
    </row>
    <row r="56" spans="1:7" ht="15" customHeight="1" x14ac:dyDescent="0.25">
      <c r="A56" s="6" t="s">
        <v>61</v>
      </c>
      <c r="B56" s="7">
        <v>192.3</v>
      </c>
      <c r="C56" s="7">
        <v>634.89</v>
      </c>
      <c r="D56" s="12">
        <f t="shared" si="4"/>
        <v>3.9154267815191849E-3</v>
      </c>
      <c r="E56" s="12">
        <f t="shared" si="5"/>
        <v>1.3747844414638843E-2</v>
      </c>
      <c r="F56" s="12">
        <f t="shared" si="6"/>
        <v>3.9077814480759088E-3</v>
      </c>
      <c r="G56" s="12">
        <f t="shared" si="7"/>
        <v>1.3654200097150238E-2</v>
      </c>
    </row>
    <row r="57" spans="1:7" ht="15" customHeight="1" x14ac:dyDescent="0.25">
      <c r="A57" s="3" t="s">
        <v>62</v>
      </c>
      <c r="B57" s="4">
        <v>196.1</v>
      </c>
      <c r="C57" s="4">
        <v>644.52</v>
      </c>
      <c r="D57" s="13">
        <f t="shared" si="4"/>
        <v>1.9760790431617176E-2</v>
      </c>
      <c r="E57" s="13">
        <f t="shared" si="5"/>
        <v>1.5167981855124503E-2</v>
      </c>
      <c r="F57" s="13">
        <f t="shared" si="6"/>
        <v>1.9568080607566429E-2</v>
      </c>
      <c r="G57" s="13">
        <f t="shared" si="7"/>
        <v>1.505409816489589E-2</v>
      </c>
    </row>
    <row r="58" spans="1:7" ht="15" customHeight="1" x14ac:dyDescent="0.25">
      <c r="A58" s="6" t="s">
        <v>63</v>
      </c>
      <c r="B58" s="7">
        <v>197.35</v>
      </c>
      <c r="C58" s="7">
        <v>656.38</v>
      </c>
      <c r="D58" s="12">
        <f t="shared" si="4"/>
        <v>6.3742988271290159E-3</v>
      </c>
      <c r="E58" s="12">
        <f t="shared" si="5"/>
        <v>1.8401290883137862E-2</v>
      </c>
      <c r="F58" s="12">
        <f t="shared" si="6"/>
        <v>6.3540689065559874E-3</v>
      </c>
      <c r="G58" s="12">
        <f t="shared" si="7"/>
        <v>1.8234035820289485E-2</v>
      </c>
    </row>
    <row r="59" spans="1:7" ht="15" customHeight="1" x14ac:dyDescent="0.25">
      <c r="A59" s="3" t="s">
        <v>64</v>
      </c>
      <c r="B59" s="4">
        <v>198.55</v>
      </c>
      <c r="C59" s="4">
        <v>662.47</v>
      </c>
      <c r="D59" s="13">
        <f t="shared" si="4"/>
        <v>6.0805675196352526E-3</v>
      </c>
      <c r="E59" s="13">
        <f t="shared" si="5"/>
        <v>9.2781620402815936E-3</v>
      </c>
      <c r="F59" s="13">
        <f t="shared" si="6"/>
        <v>6.0621554684043844E-3</v>
      </c>
      <c r="G59" s="13">
        <f t="shared" si="7"/>
        <v>9.2353842905446015E-3</v>
      </c>
    </row>
    <row r="60" spans="1:7" ht="15" customHeight="1" x14ac:dyDescent="0.25">
      <c r="A60" s="6" t="s">
        <v>65</v>
      </c>
      <c r="B60" s="7">
        <v>200.43</v>
      </c>
      <c r="C60" s="7">
        <v>675.82</v>
      </c>
      <c r="D60" s="12">
        <f t="shared" si="4"/>
        <v>9.4686476957944864E-3</v>
      </c>
      <c r="E60" s="12">
        <f t="shared" si="5"/>
        <v>2.015185593309889E-2</v>
      </c>
      <c r="F60" s="12">
        <f t="shared" si="6"/>
        <v>9.4241010282347659E-3</v>
      </c>
      <c r="G60" s="12">
        <f t="shared" si="7"/>
        <v>1.9951494580679352E-2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Normal="100" workbookViewId="0"/>
  </sheetViews>
  <sheetFormatPr defaultColWidth="8.7109375" defaultRowHeight="15" x14ac:dyDescent="0.25"/>
  <cols>
    <col min="1" max="1" width="32" style="1" customWidth="1"/>
    <col min="2" max="3" width="18" style="1" customWidth="1"/>
    <col min="4" max="4" width="38" style="1" customWidth="1"/>
  </cols>
  <sheetData>
    <row r="1" spans="1:4" ht="24" customHeight="1" x14ac:dyDescent="0.25">
      <c r="A1" s="47" t="s">
        <v>75</v>
      </c>
      <c r="B1" s="47"/>
      <c r="C1" s="47"/>
      <c r="D1" s="47"/>
    </row>
    <row r="2" spans="1:4" ht="15" customHeight="1" x14ac:dyDescent="0.25">
      <c r="A2" s="2" t="s">
        <v>76</v>
      </c>
      <c r="B2" s="2" t="s">
        <v>77</v>
      </c>
      <c r="C2" s="2" t="s">
        <v>78</v>
      </c>
    </row>
    <row r="3" spans="1:4" ht="15" customHeight="1" x14ac:dyDescent="0.25">
      <c r="A3" s="14" t="s">
        <v>79</v>
      </c>
      <c r="B3" s="15">
        <v>2.3619928978801202E-2</v>
      </c>
      <c r="C3" s="15">
        <v>4.2269037167601699E-2</v>
      </c>
    </row>
    <row r="4" spans="1:4" ht="15" customHeight="1" x14ac:dyDescent="0.25">
      <c r="A4" s="16" t="s">
        <v>80</v>
      </c>
      <c r="B4" s="17">
        <v>-3.26617509606398E-2</v>
      </c>
      <c r="C4" s="17">
        <v>-6.5247527802593894E-2</v>
      </c>
    </row>
    <row r="5" spans="1:4" ht="15" customHeight="1" x14ac:dyDescent="0.25">
      <c r="A5" s="14" t="s">
        <v>81</v>
      </c>
      <c r="B5" s="15">
        <v>5.6281679939440998E-2</v>
      </c>
      <c r="C5" s="15">
        <v>0.107516564970196</v>
      </c>
    </row>
    <row r="6" spans="1:4" ht="15" customHeight="1" x14ac:dyDescent="0.25">
      <c r="A6" s="16" t="s">
        <v>82</v>
      </c>
      <c r="B6" s="17">
        <v>-1.44392748275314E-3</v>
      </c>
      <c r="C6" s="17">
        <v>-5.3630861025367096E-3</v>
      </c>
    </row>
    <row r="7" spans="1:4" ht="15" customHeight="1" x14ac:dyDescent="0.25">
      <c r="A7" s="14" t="s">
        <v>83</v>
      </c>
      <c r="B7" s="15">
        <v>8.4965905401017099E-3</v>
      </c>
      <c r="C7" s="15">
        <v>1.17700316885468E-2</v>
      </c>
    </row>
    <row r="8" spans="1:4" ht="15" customHeight="1" x14ac:dyDescent="0.25">
      <c r="A8" s="16" t="s">
        <v>84</v>
      </c>
      <c r="B8" s="17">
        <v>9.9405180228548506E-3</v>
      </c>
      <c r="C8" s="17">
        <v>1.7133117791083501E-2</v>
      </c>
    </row>
    <row r="9" spans="1:4" ht="15" customHeight="1" x14ac:dyDescent="0.25">
      <c r="A9" s="14" t="s">
        <v>85</v>
      </c>
      <c r="B9" s="15">
        <v>2.4604479206889402E-3</v>
      </c>
      <c r="C9" s="15">
        <v>2.9009634847199802E-3</v>
      </c>
    </row>
    <row r="10" spans="1:4" ht="15" customHeight="1" x14ac:dyDescent="0.25">
      <c r="A10" s="16" t="s">
        <v>86</v>
      </c>
      <c r="B10" s="17">
        <v>7.9978728762987103E-3</v>
      </c>
      <c r="C10" s="17">
        <v>1.2731357360941701E-2</v>
      </c>
    </row>
    <row r="11" spans="1:4" ht="15" customHeight="1" x14ac:dyDescent="0.25">
      <c r="A11" s="14" t="s">
        <v>87</v>
      </c>
      <c r="B11" s="18">
        <v>1.1793077221374099E-4</v>
      </c>
      <c r="C11" s="18">
        <v>3.1587551838229902E-4</v>
      </c>
    </row>
    <row r="12" spans="1:4" ht="15" customHeight="1" x14ac:dyDescent="0.25">
      <c r="A12" s="16" t="s">
        <v>88</v>
      </c>
      <c r="B12" s="17">
        <v>1.08595935565628E-2</v>
      </c>
      <c r="C12" s="17">
        <v>1.7772887170696201E-2</v>
      </c>
    </row>
    <row r="13" spans="1:4" ht="15" customHeight="1" x14ac:dyDescent="0.25">
      <c r="A13" s="14" t="s">
        <v>89</v>
      </c>
      <c r="B13" s="15">
        <v>2.3407367574384001E-2</v>
      </c>
      <c r="C13" s="15">
        <v>3.7469708375172099E-2</v>
      </c>
    </row>
    <row r="14" spans="1:4" ht="15" customHeight="1" x14ac:dyDescent="0.25">
      <c r="A14" s="16" t="s">
        <v>90</v>
      </c>
      <c r="B14" s="17">
        <v>-1.6354704517035398E-2</v>
      </c>
      <c r="C14" s="17">
        <v>-3.1062762789162E-2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Normal="100" workbookViewId="0"/>
  </sheetViews>
  <sheetFormatPr defaultColWidth="8.7109375" defaultRowHeight="15" x14ac:dyDescent="0.25"/>
  <cols>
    <col min="1" max="1" width="30" style="1" customWidth="1"/>
    <col min="2" max="3" width="18" style="1" customWidth="1"/>
    <col min="4" max="4" width="42" style="1" customWidth="1"/>
  </cols>
  <sheetData>
    <row r="1" spans="1:4" ht="24" customHeight="1" x14ac:dyDescent="0.25">
      <c r="A1" s="47" t="s">
        <v>91</v>
      </c>
      <c r="B1" s="47"/>
      <c r="C1" s="47"/>
      <c r="D1" s="47"/>
    </row>
    <row r="2" spans="1:4" ht="15" customHeight="1" x14ac:dyDescent="0.25">
      <c r="A2" s="2" t="s">
        <v>92</v>
      </c>
      <c r="B2" s="2" t="s">
        <v>77</v>
      </c>
      <c r="C2" s="2" t="s">
        <v>78</v>
      </c>
      <c r="D2" s="2" t="s">
        <v>93</v>
      </c>
    </row>
    <row r="3" spans="1:4" ht="15" customHeight="1" x14ac:dyDescent="0.25">
      <c r="A3" s="14" t="s">
        <v>94</v>
      </c>
      <c r="B3" s="15">
        <v>2.4604479206889402E-3</v>
      </c>
      <c r="C3" s="15">
        <v>2.9009634847199802E-3</v>
      </c>
      <c r="D3" s="19" t="s">
        <v>95</v>
      </c>
    </row>
    <row r="4" spans="1:4" ht="15" customHeight="1" x14ac:dyDescent="0.25">
      <c r="A4" s="16" t="s">
        <v>96</v>
      </c>
      <c r="B4" s="17">
        <v>7.9978728762987103E-3</v>
      </c>
      <c r="C4" s="17">
        <v>1.2731357360941701E-2</v>
      </c>
      <c r="D4" s="20" t="s">
        <v>97</v>
      </c>
    </row>
    <row r="5" spans="1:4" ht="15" customHeight="1" x14ac:dyDescent="0.25">
      <c r="A5" s="14" t="s">
        <v>87</v>
      </c>
      <c r="B5" s="18">
        <v>1.1793077221374099E-4</v>
      </c>
      <c r="C5" s="18">
        <v>3.1587551838229902E-4</v>
      </c>
      <c r="D5" s="19" t="s">
        <v>98</v>
      </c>
    </row>
    <row r="6" spans="1:4" ht="15" customHeight="1" x14ac:dyDescent="0.25">
      <c r="A6" s="16" t="s">
        <v>99</v>
      </c>
      <c r="B6" s="17">
        <v>1.08595935565628E-2</v>
      </c>
      <c r="C6" s="17">
        <v>1.7772887170696201E-2</v>
      </c>
      <c r="D6" s="20" t="s">
        <v>100</v>
      </c>
    </row>
    <row r="8" spans="1:4" ht="15" customHeight="1" x14ac:dyDescent="0.25">
      <c r="A8" s="21" t="s">
        <v>101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Normal="100" workbookViewId="0"/>
  </sheetViews>
  <sheetFormatPr defaultColWidth="8.7109375" defaultRowHeight="15" x14ac:dyDescent="0.25"/>
  <cols>
    <col min="1" max="1" width="30" style="1" customWidth="1"/>
    <col min="2" max="3" width="18" style="1" customWidth="1"/>
    <col min="4" max="4" width="42" style="1" customWidth="1"/>
  </cols>
  <sheetData>
    <row r="1" spans="1:4" ht="24" customHeight="1" x14ac:dyDescent="0.25">
      <c r="A1" s="47" t="s">
        <v>102</v>
      </c>
      <c r="B1" s="47"/>
      <c r="C1" s="47"/>
      <c r="D1" s="47"/>
    </row>
    <row r="2" spans="1:4" ht="15" customHeight="1" x14ac:dyDescent="0.25">
      <c r="A2" s="2" t="s">
        <v>92</v>
      </c>
      <c r="B2" s="2" t="s">
        <v>77</v>
      </c>
      <c r="C2" s="2" t="s">
        <v>78</v>
      </c>
      <c r="D2" s="2" t="s">
        <v>93</v>
      </c>
    </row>
    <row r="3" spans="1:4" ht="15" customHeight="1" x14ac:dyDescent="0.25">
      <c r="A3" s="14" t="s">
        <v>94</v>
      </c>
      <c r="B3" s="15">
        <v>2.4604479206889402E-3</v>
      </c>
      <c r="C3" s="15">
        <v>2.9009634847199802E-3</v>
      </c>
      <c r="D3" s="19" t="s">
        <v>95</v>
      </c>
    </row>
    <row r="4" spans="1:4" ht="15" customHeight="1" x14ac:dyDescent="0.25">
      <c r="A4" s="16" t="s">
        <v>99</v>
      </c>
      <c r="B4" s="17">
        <v>1.08595935565628E-2</v>
      </c>
      <c r="C4" s="17">
        <v>1.7772887170696201E-2</v>
      </c>
      <c r="D4" s="20" t="s">
        <v>103</v>
      </c>
    </row>
    <row r="5" spans="1:4" ht="15" customHeight="1" x14ac:dyDescent="0.25">
      <c r="A5" s="14" t="s">
        <v>104</v>
      </c>
      <c r="B5" s="22">
        <v>4.4136652782807504</v>
      </c>
      <c r="C5" s="22">
        <v>6.12654632307851</v>
      </c>
      <c r="D5" s="19" t="s">
        <v>105</v>
      </c>
    </row>
    <row r="7" spans="1:4" ht="15" customHeight="1" x14ac:dyDescent="0.25">
      <c r="A7" s="23" t="s">
        <v>106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zoomScaleNormal="100" workbookViewId="0"/>
  </sheetViews>
  <sheetFormatPr defaultColWidth="8.7109375" defaultRowHeight="15" x14ac:dyDescent="0.25"/>
  <cols>
    <col min="1" max="8" width="18" style="1" customWidth="1"/>
  </cols>
  <sheetData>
    <row r="1" spans="1:8" ht="24" customHeight="1" x14ac:dyDescent="0.25">
      <c r="A1" s="47" t="s">
        <v>107</v>
      </c>
      <c r="B1" s="47"/>
      <c r="C1" s="47"/>
      <c r="D1" s="47"/>
      <c r="E1" s="47"/>
      <c r="F1" s="47"/>
      <c r="G1" s="47"/>
      <c r="H1" s="47"/>
    </row>
    <row r="2" spans="1:8" ht="15" customHeight="1" x14ac:dyDescent="0.25">
      <c r="A2" s="2" t="s">
        <v>1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</row>
    <row r="3" spans="1:8" ht="15" customHeight="1" x14ac:dyDescent="0.25">
      <c r="A3" s="3" t="s">
        <v>9</v>
      </c>
      <c r="B3" s="13">
        <v>8.0086951547386504E-4</v>
      </c>
      <c r="C3" s="13">
        <v>3.1137020187167299E-3</v>
      </c>
      <c r="D3" s="24">
        <v>-0.15282141054092499</v>
      </c>
      <c r="E3" s="24">
        <v>1.19698353989164E-2</v>
      </c>
      <c r="F3" s="25" t="s">
        <v>114</v>
      </c>
      <c r="G3" s="25" t="s">
        <v>114</v>
      </c>
    </row>
    <row r="4" spans="1:8" ht="15" customHeight="1" x14ac:dyDescent="0.25">
      <c r="A4" s="6" t="s">
        <v>10</v>
      </c>
      <c r="B4" s="12">
        <v>-1.14318376679051E-2</v>
      </c>
      <c r="C4" s="12">
        <v>-5.3630861025367096E-3</v>
      </c>
      <c r="D4" s="26">
        <v>-1.27926386160175</v>
      </c>
      <c r="E4" s="26">
        <v>-0.46498070391637802</v>
      </c>
      <c r="F4" s="20" t="s">
        <v>114</v>
      </c>
      <c r="G4" s="20" t="s">
        <v>114</v>
      </c>
    </row>
    <row r="5" spans="1:8" ht="15" customHeight="1" x14ac:dyDescent="0.25">
      <c r="A5" s="3" t="s">
        <v>11</v>
      </c>
      <c r="B5" s="13">
        <v>5.7820179242667399E-5</v>
      </c>
      <c r="C5" s="13">
        <v>9.6570616179480102E-3</v>
      </c>
      <c r="D5" s="24">
        <v>-0.22124472052586899</v>
      </c>
      <c r="E5" s="24">
        <v>0.38013509388431899</v>
      </c>
      <c r="F5" s="25" t="s">
        <v>114</v>
      </c>
      <c r="G5" s="25" t="s">
        <v>114</v>
      </c>
    </row>
    <row r="6" spans="1:8" ht="15" customHeight="1" x14ac:dyDescent="0.25">
      <c r="A6" s="6" t="s">
        <v>12</v>
      </c>
      <c r="B6" s="12">
        <v>-1.9657724329324899E-3</v>
      </c>
      <c r="C6" s="12">
        <v>3.5717352107837701E-3</v>
      </c>
      <c r="D6" s="26">
        <v>-0.407586189166952</v>
      </c>
      <c r="E6" s="26">
        <v>3.7741292094046898E-2</v>
      </c>
      <c r="F6" s="20" t="s">
        <v>114</v>
      </c>
      <c r="G6" s="20" t="s">
        <v>114</v>
      </c>
    </row>
    <row r="7" spans="1:8" ht="15" customHeight="1" x14ac:dyDescent="0.25">
      <c r="A7" s="3" t="s">
        <v>13</v>
      </c>
      <c r="B7" s="13">
        <v>4.9820414783917598E-3</v>
      </c>
      <c r="C7" s="13">
        <v>5.2529815375666001E-3</v>
      </c>
      <c r="D7" s="24">
        <v>0.232199625572445</v>
      </c>
      <c r="E7" s="24">
        <v>0.13233742105360399</v>
      </c>
      <c r="F7" s="25" t="s">
        <v>114</v>
      </c>
      <c r="G7" s="25" t="s">
        <v>114</v>
      </c>
    </row>
    <row r="8" spans="1:8" ht="15" customHeight="1" x14ac:dyDescent="0.25">
      <c r="A8" s="6" t="s">
        <v>14</v>
      </c>
      <c r="B8" s="12">
        <v>1.35462301129815E-2</v>
      </c>
      <c r="C8" s="12">
        <v>8.1872340425530998E-3</v>
      </c>
      <c r="D8" s="26">
        <v>1.02082846236847</v>
      </c>
      <c r="E8" s="26">
        <v>0.29743454212375098</v>
      </c>
      <c r="F8" s="20" t="s">
        <v>114</v>
      </c>
      <c r="G8" s="20" t="s">
        <v>114</v>
      </c>
    </row>
    <row r="9" spans="1:8" ht="15" customHeight="1" x14ac:dyDescent="0.25">
      <c r="A9" s="3" t="s">
        <v>15</v>
      </c>
      <c r="B9" s="13">
        <v>-5.8010578399591102E-3</v>
      </c>
      <c r="C9" s="13">
        <v>2.6185612263848499E-2</v>
      </c>
      <c r="D9" s="24">
        <v>-0.76075644245961205</v>
      </c>
      <c r="E9" s="24">
        <v>1.31012190397067</v>
      </c>
      <c r="F9" s="25" t="s">
        <v>114</v>
      </c>
      <c r="G9" s="25" t="s">
        <v>114</v>
      </c>
    </row>
    <row r="10" spans="1:8" ht="15" customHeight="1" x14ac:dyDescent="0.25">
      <c r="A10" s="6" t="s">
        <v>16</v>
      </c>
      <c r="B10" s="12">
        <v>1.53881356901779E-2</v>
      </c>
      <c r="C10" s="12">
        <v>2.4250600506728798E-2</v>
      </c>
      <c r="D10" s="26">
        <v>1.19043937530022</v>
      </c>
      <c r="E10" s="26">
        <v>1.2012475416605299</v>
      </c>
      <c r="F10" s="20" t="s">
        <v>114</v>
      </c>
      <c r="G10" s="20" t="s">
        <v>114</v>
      </c>
    </row>
    <row r="11" spans="1:8" ht="15" customHeight="1" x14ac:dyDescent="0.25">
      <c r="A11" s="3" t="s">
        <v>17</v>
      </c>
      <c r="B11" s="13">
        <v>6.4225352112675304E-3</v>
      </c>
      <c r="C11" s="13">
        <v>1.2336160370084901E-2</v>
      </c>
      <c r="D11" s="24">
        <v>0.36484673850285798</v>
      </c>
      <c r="E11" s="24">
        <v>0.530875866973465</v>
      </c>
      <c r="F11" s="25" t="s">
        <v>114</v>
      </c>
      <c r="G11" s="25" t="s">
        <v>114</v>
      </c>
    </row>
    <row r="12" spans="1:8" ht="15" customHeight="1" x14ac:dyDescent="0.25">
      <c r="A12" s="6" t="s">
        <v>18</v>
      </c>
      <c r="B12" s="12">
        <v>1.19793999104345E-2</v>
      </c>
      <c r="C12" s="12">
        <v>5.5217060167555504E-3</v>
      </c>
      <c r="D12" s="26">
        <v>0.87654772162195005</v>
      </c>
      <c r="E12" s="26">
        <v>0.14745733244492901</v>
      </c>
      <c r="F12" s="20" t="s">
        <v>114</v>
      </c>
      <c r="G12" s="20" t="s">
        <v>114</v>
      </c>
    </row>
    <row r="13" spans="1:8" ht="15" customHeight="1" x14ac:dyDescent="0.25">
      <c r="A13" s="3" t="s">
        <v>19</v>
      </c>
      <c r="B13" s="13">
        <v>-3.81679389312976E-3</v>
      </c>
      <c r="C13" s="13">
        <v>-7.22716657198769E-3</v>
      </c>
      <c r="D13" s="24">
        <v>-0.57803653342303496</v>
      </c>
      <c r="E13" s="24">
        <v>-0.56986408338915495</v>
      </c>
      <c r="F13" s="25" t="s">
        <v>114</v>
      </c>
      <c r="G13" s="25" t="s">
        <v>114</v>
      </c>
    </row>
    <row r="14" spans="1:8" ht="15" customHeight="1" x14ac:dyDescent="0.25">
      <c r="A14" s="6" t="s">
        <v>20</v>
      </c>
      <c r="B14" s="12">
        <v>-1.4992503748125999E-2</v>
      </c>
      <c r="C14" s="12">
        <v>-2.74978542136885E-2</v>
      </c>
      <c r="D14" s="26">
        <v>-1.6071459376366399</v>
      </c>
      <c r="E14" s="26">
        <v>-1.71040402194922</v>
      </c>
      <c r="F14" s="20" t="s">
        <v>114</v>
      </c>
      <c r="G14" s="20" t="s">
        <v>114</v>
      </c>
    </row>
    <row r="15" spans="1:8" ht="15" customHeight="1" x14ac:dyDescent="0.25">
      <c r="A15" s="3" t="s">
        <v>21</v>
      </c>
      <c r="B15" s="13">
        <v>2.7622752128079902E-3</v>
      </c>
      <c r="C15" s="13">
        <v>-1.07544456066946E-2</v>
      </c>
      <c r="D15" s="24">
        <v>2.7793608531200501E-2</v>
      </c>
      <c r="E15" s="24">
        <v>-0.76832812588432597</v>
      </c>
      <c r="F15" s="25" t="s">
        <v>114</v>
      </c>
      <c r="G15" s="25" t="s">
        <v>114</v>
      </c>
    </row>
    <row r="16" spans="1:8" ht="15" customHeight="1" x14ac:dyDescent="0.25">
      <c r="A16" s="6" t="s">
        <v>22</v>
      </c>
      <c r="B16" s="12">
        <v>-7.4769507533167497E-3</v>
      </c>
      <c r="C16" s="12">
        <v>-5.9809007699170701E-3</v>
      </c>
      <c r="D16" s="26">
        <v>-0.91508016596074104</v>
      </c>
      <c r="E16" s="26">
        <v>-0.499742341766586</v>
      </c>
      <c r="F16" s="20" t="s">
        <v>114</v>
      </c>
      <c r="G16" s="20" t="s">
        <v>114</v>
      </c>
    </row>
    <row r="17" spans="1:7" ht="15" customHeight="1" x14ac:dyDescent="0.25">
      <c r="A17" s="3" t="s">
        <v>23</v>
      </c>
      <c r="B17" s="13">
        <v>8.2129708297931907E-3</v>
      </c>
      <c r="C17" s="13">
        <v>-5.3187952928660503E-3</v>
      </c>
      <c r="D17" s="24">
        <v>0.52971806717644798</v>
      </c>
      <c r="E17" s="24">
        <v>-0.46248866031956198</v>
      </c>
      <c r="F17" s="25" t="s">
        <v>114</v>
      </c>
      <c r="G17" s="25" t="s">
        <v>114</v>
      </c>
    </row>
    <row r="18" spans="1:7" ht="15" customHeight="1" x14ac:dyDescent="0.25">
      <c r="A18" s="6" t="s">
        <v>24</v>
      </c>
      <c r="B18" s="12">
        <v>4.8876404494382301E-3</v>
      </c>
      <c r="C18" s="12">
        <v>4.2443686919322998E-3</v>
      </c>
      <c r="D18" s="26">
        <v>0.22350675613291801</v>
      </c>
      <c r="E18" s="26">
        <v>7.5587336728683396E-2</v>
      </c>
      <c r="F18" s="20" t="s">
        <v>114</v>
      </c>
      <c r="G18" s="20" t="s">
        <v>114</v>
      </c>
    </row>
    <row r="19" spans="1:7" ht="15" customHeight="1" x14ac:dyDescent="0.25">
      <c r="A19" s="3" t="s">
        <v>25</v>
      </c>
      <c r="B19" s="13">
        <v>9.6718287024095198E-3</v>
      </c>
      <c r="C19" s="13">
        <v>9.08516090385709E-3</v>
      </c>
      <c r="D19" s="24">
        <v>0.66405623232211197</v>
      </c>
      <c r="E19" s="24">
        <v>0.34795682658322202</v>
      </c>
      <c r="F19" s="25" t="s">
        <v>114</v>
      </c>
      <c r="G19" s="25" t="s">
        <v>114</v>
      </c>
    </row>
    <row r="20" spans="1:7" ht="15" customHeight="1" x14ac:dyDescent="0.25">
      <c r="A20" s="6" t="s">
        <v>26</v>
      </c>
      <c r="B20" s="12">
        <v>7.4197120708748799E-3</v>
      </c>
      <c r="C20" s="12">
        <v>1.0652331640393E-2</v>
      </c>
      <c r="D20" s="26">
        <v>0.45667124873093401</v>
      </c>
      <c r="E20" s="26">
        <v>0.43613443787869099</v>
      </c>
      <c r="F20" s="20" t="s">
        <v>114</v>
      </c>
      <c r="G20" s="20" t="s">
        <v>114</v>
      </c>
    </row>
    <row r="21" spans="1:7" ht="15" customHeight="1" x14ac:dyDescent="0.25">
      <c r="A21" s="3" t="s">
        <v>27</v>
      </c>
      <c r="B21" s="13">
        <v>1.5609541607123301E-2</v>
      </c>
      <c r="C21" s="13">
        <v>9.1695219448523508E-3</v>
      </c>
      <c r="D21" s="24">
        <v>1.2108274235077501</v>
      </c>
      <c r="E21" s="24">
        <v>0.35270344091689898</v>
      </c>
      <c r="F21" s="25" t="s">
        <v>114</v>
      </c>
      <c r="G21" s="25" t="s">
        <v>114</v>
      </c>
    </row>
    <row r="22" spans="1:7" ht="15" customHeight="1" x14ac:dyDescent="0.25">
      <c r="A22" s="6" t="s">
        <v>28</v>
      </c>
      <c r="B22" s="12">
        <v>8.4965905401017099E-3</v>
      </c>
      <c r="C22" s="12">
        <v>1.17700316885468E-2</v>
      </c>
      <c r="D22" s="26">
        <v>0.55583504004760198</v>
      </c>
      <c r="E22" s="26">
        <v>0.49902236584554799</v>
      </c>
      <c r="F22" s="20" t="s">
        <v>114</v>
      </c>
      <c r="G22" s="20" t="s">
        <v>114</v>
      </c>
    </row>
    <row r="23" spans="1:7" ht="15" customHeight="1" x14ac:dyDescent="0.25">
      <c r="A23" s="3" t="s">
        <v>29</v>
      </c>
      <c r="B23" s="13">
        <v>7.5127448349887203E-4</v>
      </c>
      <c r="C23" s="13">
        <v>-6.7114093959725002E-4</v>
      </c>
      <c r="D23" s="24">
        <v>-0.15738834315370401</v>
      </c>
      <c r="E23" s="24">
        <v>-0.20098616448805701</v>
      </c>
      <c r="F23" s="25" t="s">
        <v>114</v>
      </c>
      <c r="G23" s="25" t="s">
        <v>114</v>
      </c>
    </row>
    <row r="24" spans="1:7" ht="15" customHeight="1" x14ac:dyDescent="0.25">
      <c r="A24" s="6" t="s">
        <v>30</v>
      </c>
      <c r="B24" s="12">
        <v>2.6811089066437902E-3</v>
      </c>
      <c r="C24" s="12">
        <v>5.4526847676612099E-3</v>
      </c>
      <c r="D24" s="26">
        <v>2.0319451626391701E-2</v>
      </c>
      <c r="E24" s="26">
        <v>0.14357381884179601</v>
      </c>
      <c r="F24" s="20" t="s">
        <v>114</v>
      </c>
      <c r="G24" s="20" t="s">
        <v>114</v>
      </c>
    </row>
    <row r="25" spans="1:7" ht="15" customHeight="1" x14ac:dyDescent="0.25">
      <c r="A25" s="3" t="s">
        <v>31</v>
      </c>
      <c r="B25" s="13">
        <v>-1.44392748275314E-3</v>
      </c>
      <c r="C25" s="13">
        <v>-2.3855341210897098E-3</v>
      </c>
      <c r="D25" s="24">
        <v>-0.35953236952248002</v>
      </c>
      <c r="E25" s="24">
        <v>-0.29744731708678301</v>
      </c>
      <c r="F25" s="25" t="s">
        <v>114</v>
      </c>
      <c r="G25" s="25" t="s">
        <v>114</v>
      </c>
    </row>
    <row r="26" spans="1:7" ht="15" customHeight="1" x14ac:dyDescent="0.25">
      <c r="A26" s="6" t="s">
        <v>32</v>
      </c>
      <c r="B26" s="12">
        <v>-1.51563838903171E-2</v>
      </c>
      <c r="C26" s="12">
        <v>-1.07765148495911E-2</v>
      </c>
      <c r="D26" s="26">
        <v>-1.6222367549252901</v>
      </c>
      <c r="E26" s="26">
        <v>-0.76956986239480396</v>
      </c>
      <c r="F26" s="20" t="s">
        <v>114</v>
      </c>
      <c r="G26" s="20" t="s">
        <v>114</v>
      </c>
    </row>
    <row r="27" spans="1:7" ht="15" customHeight="1" x14ac:dyDescent="0.25">
      <c r="A27" s="3" t="s">
        <v>33</v>
      </c>
      <c r="B27" s="13">
        <v>1.84893142639623E-3</v>
      </c>
      <c r="C27" s="13">
        <v>-6.60725508839222E-3</v>
      </c>
      <c r="D27" s="24">
        <v>-5.6311176943002701E-2</v>
      </c>
      <c r="E27" s="24">
        <v>-0.53498446717139303</v>
      </c>
      <c r="F27" s="25" t="s">
        <v>114</v>
      </c>
      <c r="G27" s="25" t="s">
        <v>114</v>
      </c>
    </row>
    <row r="28" spans="1:7" ht="15" customHeight="1" x14ac:dyDescent="0.25">
      <c r="A28" s="6" t="s">
        <v>34</v>
      </c>
      <c r="B28" s="12">
        <v>5.3737176355642896E-3</v>
      </c>
      <c r="C28" s="12">
        <v>4.8505101958048902E-3</v>
      </c>
      <c r="D28" s="26">
        <v>0.26826691990832102</v>
      </c>
      <c r="E28" s="26">
        <v>0.109692178449166</v>
      </c>
      <c r="F28" s="20" t="s">
        <v>114</v>
      </c>
      <c r="G28" s="20" t="s">
        <v>114</v>
      </c>
    </row>
    <row r="29" spans="1:7" ht="15" customHeight="1" x14ac:dyDescent="0.25">
      <c r="A29" s="3" t="s">
        <v>35</v>
      </c>
      <c r="B29" s="13">
        <v>5.7769139401792104E-3</v>
      </c>
      <c r="C29" s="13">
        <v>5.3437086306545797E-3</v>
      </c>
      <c r="D29" s="24">
        <v>0.305395041003724</v>
      </c>
      <c r="E29" s="24">
        <v>0.13744222435408099</v>
      </c>
      <c r="F29" s="25" t="s">
        <v>114</v>
      </c>
      <c r="G29" s="25" t="s">
        <v>114</v>
      </c>
    </row>
    <row r="30" spans="1:7" ht="15" customHeight="1" x14ac:dyDescent="0.25">
      <c r="A30" s="6" t="s">
        <v>36</v>
      </c>
      <c r="B30" s="12">
        <v>1.04675505931613E-2</v>
      </c>
      <c r="C30" s="12">
        <v>1.1321118301671601E-2</v>
      </c>
      <c r="D30" s="26">
        <v>0.73732986697585901</v>
      </c>
      <c r="E30" s="26">
        <v>0.47376403935285699</v>
      </c>
      <c r="F30" s="20" t="s">
        <v>114</v>
      </c>
      <c r="G30" s="20" t="s">
        <v>114</v>
      </c>
    </row>
    <row r="31" spans="1:7" ht="15" customHeight="1" x14ac:dyDescent="0.25">
      <c r="A31" s="3" t="s">
        <v>37</v>
      </c>
      <c r="B31" s="13">
        <v>8.6060348491288005E-3</v>
      </c>
      <c r="C31" s="13">
        <v>1.01940360125759E-2</v>
      </c>
      <c r="D31" s="24">
        <v>0.56591316207464104</v>
      </c>
      <c r="E31" s="24">
        <v>0.41034821511052499</v>
      </c>
      <c r="F31" s="25" t="s">
        <v>114</v>
      </c>
      <c r="G31" s="25" t="s">
        <v>114</v>
      </c>
    </row>
    <row r="32" spans="1:7" ht="15" customHeight="1" x14ac:dyDescent="0.25">
      <c r="A32" s="6" t="s">
        <v>38</v>
      </c>
      <c r="B32" s="12">
        <v>1.47477088380898E-3</v>
      </c>
      <c r="C32" s="12">
        <v>3.8195535994969402E-3</v>
      </c>
      <c r="D32" s="26">
        <v>-9.07655550593124E-2</v>
      </c>
      <c r="E32" s="26">
        <v>5.1684912302347501E-2</v>
      </c>
      <c r="F32" s="20" t="s">
        <v>114</v>
      </c>
      <c r="G32" s="20" t="s">
        <v>114</v>
      </c>
    </row>
    <row r="33" spans="1:7" ht="15" customHeight="1" x14ac:dyDescent="0.25">
      <c r="A33" s="3" t="s">
        <v>39</v>
      </c>
      <c r="B33" s="13">
        <v>9.1511517828968599E-3</v>
      </c>
      <c r="C33" s="13">
        <v>7.9545276607739107E-3</v>
      </c>
      <c r="D33" s="24">
        <v>0.61610997017144498</v>
      </c>
      <c r="E33" s="24">
        <v>0.28434120621584702</v>
      </c>
      <c r="F33" s="25" t="s">
        <v>114</v>
      </c>
      <c r="G33" s="25" t="s">
        <v>114</v>
      </c>
    </row>
    <row r="34" spans="1:7" ht="15" customHeight="1" x14ac:dyDescent="0.25">
      <c r="A34" s="6" t="s">
        <v>40</v>
      </c>
      <c r="B34" s="12">
        <v>1.04231811548894E-3</v>
      </c>
      <c r="C34" s="12">
        <v>3.3089434683320098E-3</v>
      </c>
      <c r="D34" s="26">
        <v>-0.13058774233249101</v>
      </c>
      <c r="E34" s="26">
        <v>2.2955188973724901E-2</v>
      </c>
      <c r="F34" s="20" t="s">
        <v>114</v>
      </c>
      <c r="G34" s="20" t="s">
        <v>114</v>
      </c>
    </row>
    <row r="35" spans="1:7" ht="15" customHeight="1" x14ac:dyDescent="0.25">
      <c r="A35" s="3" t="s">
        <v>41</v>
      </c>
      <c r="B35" s="13">
        <v>7.7051228654726701E-3</v>
      </c>
      <c r="C35" s="13">
        <v>5.2334943639291403E-3</v>
      </c>
      <c r="D35" s="24">
        <v>0.48295315266326899</v>
      </c>
      <c r="E35" s="24">
        <v>0.13124096590536</v>
      </c>
      <c r="F35" s="25" t="s">
        <v>114</v>
      </c>
      <c r="G35" s="25" t="s">
        <v>114</v>
      </c>
    </row>
    <row r="36" spans="1:7" ht="15" customHeight="1" x14ac:dyDescent="0.25">
      <c r="A36" s="6" t="s">
        <v>42</v>
      </c>
      <c r="B36" s="12">
        <v>1.16759661087001E-2</v>
      </c>
      <c r="C36" s="12">
        <v>-6.5247527802593894E-2</v>
      </c>
      <c r="D36" s="26">
        <v>0.84860617849200504</v>
      </c>
      <c r="E36" s="26">
        <v>-3.8344074675540898</v>
      </c>
      <c r="F36" s="20" t="s">
        <v>114</v>
      </c>
      <c r="G36" s="20" t="s">
        <v>115</v>
      </c>
    </row>
    <row r="37" spans="1:7" ht="15" customHeight="1" x14ac:dyDescent="0.25">
      <c r="A37" s="3" t="s">
        <v>43</v>
      </c>
      <c r="B37" s="13">
        <v>-1.9763047696864499E-2</v>
      </c>
      <c r="C37" s="13">
        <v>-2.6892528754572799E-2</v>
      </c>
      <c r="D37" s="24">
        <v>-2.04643898519784</v>
      </c>
      <c r="E37" s="24">
        <v>-1.6763450953774099</v>
      </c>
      <c r="F37" s="25" t="s">
        <v>114</v>
      </c>
      <c r="G37" s="25" t="s">
        <v>114</v>
      </c>
    </row>
    <row r="38" spans="1:7" ht="15" customHeight="1" x14ac:dyDescent="0.25">
      <c r="A38" s="6" t="s">
        <v>44</v>
      </c>
      <c r="B38" s="12">
        <v>3.2821047147695999E-3</v>
      </c>
      <c r="C38" s="12">
        <v>-1.1972093338300399E-2</v>
      </c>
      <c r="D38" s="26">
        <v>7.5661836679339303E-2</v>
      </c>
      <c r="E38" s="26">
        <v>-0.83683965808003202</v>
      </c>
      <c r="F38" s="20" t="s">
        <v>114</v>
      </c>
      <c r="G38" s="20" t="s">
        <v>114</v>
      </c>
    </row>
    <row r="39" spans="1:7" ht="15" customHeight="1" x14ac:dyDescent="0.25">
      <c r="A39" s="3" t="s">
        <v>45</v>
      </c>
      <c r="B39" s="13">
        <v>-3.26617509606398E-2</v>
      </c>
      <c r="C39" s="13">
        <v>-3.5271736336058498E-2</v>
      </c>
      <c r="D39" s="24">
        <v>-3.2342093374298799</v>
      </c>
      <c r="E39" s="24">
        <v>-2.1478052189358001</v>
      </c>
      <c r="F39" s="25" t="s">
        <v>115</v>
      </c>
      <c r="G39" s="25" t="s">
        <v>114</v>
      </c>
    </row>
    <row r="40" spans="1:7" ht="15" customHeight="1" x14ac:dyDescent="0.25">
      <c r="A40" s="6" t="s">
        <v>46</v>
      </c>
      <c r="B40" s="12">
        <v>-1.37420151376886E-2</v>
      </c>
      <c r="C40" s="12">
        <v>-1.5136172253903899E-2</v>
      </c>
      <c r="D40" s="26">
        <v>-1.49199534715421</v>
      </c>
      <c r="E40" s="26">
        <v>-1.0148680721027401</v>
      </c>
      <c r="F40" s="20" t="s">
        <v>114</v>
      </c>
      <c r="G40" s="20" t="s">
        <v>114</v>
      </c>
    </row>
    <row r="41" spans="1:7" ht="15" customHeight="1" x14ac:dyDescent="0.25">
      <c r="A41" s="3" t="s">
        <v>47</v>
      </c>
      <c r="B41" s="13">
        <v>-2.06825232678384E-3</v>
      </c>
      <c r="C41" s="13">
        <v>1.1634828724498201E-2</v>
      </c>
      <c r="D41" s="24">
        <v>-0.41702299666049097</v>
      </c>
      <c r="E41" s="24">
        <v>0.49141510638623098</v>
      </c>
      <c r="F41" s="25" t="s">
        <v>114</v>
      </c>
      <c r="G41" s="25" t="s">
        <v>114</v>
      </c>
    </row>
    <row r="42" spans="1:7" ht="15" customHeight="1" x14ac:dyDescent="0.25">
      <c r="A42" s="6" t="s">
        <v>48</v>
      </c>
      <c r="B42" s="12">
        <v>4.58140169075541E-3</v>
      </c>
      <c r="C42" s="12">
        <v>1.33554438144144E-2</v>
      </c>
      <c r="D42" s="26">
        <v>0.19530692000758201</v>
      </c>
      <c r="E42" s="26">
        <v>0.58822633763926002</v>
      </c>
      <c r="F42" s="20" t="s">
        <v>114</v>
      </c>
      <c r="G42" s="20" t="s">
        <v>114</v>
      </c>
    </row>
    <row r="43" spans="1:7" ht="15" customHeight="1" x14ac:dyDescent="0.25">
      <c r="A43" s="3" t="s">
        <v>49</v>
      </c>
      <c r="B43" s="13">
        <v>7.1665128400021398E-3</v>
      </c>
      <c r="C43" s="13">
        <v>1.53613344829407E-2</v>
      </c>
      <c r="D43" s="24">
        <v>0.43335552981807202</v>
      </c>
      <c r="E43" s="24">
        <v>0.70108873581132303</v>
      </c>
      <c r="F43" s="25" t="s">
        <v>114</v>
      </c>
      <c r="G43" s="25" t="s">
        <v>114</v>
      </c>
    </row>
    <row r="44" spans="1:7" ht="15" customHeight="1" x14ac:dyDescent="0.25">
      <c r="A44" s="6" t="s">
        <v>50</v>
      </c>
      <c r="B44" s="12">
        <v>4.3663414371193096E-3</v>
      </c>
      <c r="C44" s="12">
        <v>8.7862193262166401E-3</v>
      </c>
      <c r="D44" s="26">
        <v>0.17550320889114501</v>
      </c>
      <c r="E44" s="26">
        <v>0.33113673569031699</v>
      </c>
      <c r="F44" s="20" t="s">
        <v>114</v>
      </c>
      <c r="G44" s="20" t="s">
        <v>114</v>
      </c>
    </row>
    <row r="45" spans="1:7" ht="15" customHeight="1" x14ac:dyDescent="0.25">
      <c r="A45" s="3" t="s">
        <v>51</v>
      </c>
      <c r="B45" s="13">
        <v>-1.53499355946758E-2</v>
      </c>
      <c r="C45" s="13">
        <v>-2.0958238133686202E-2</v>
      </c>
      <c r="D45" s="24">
        <v>-1.6400598625167999</v>
      </c>
      <c r="E45" s="24">
        <v>-1.3424493943643001</v>
      </c>
      <c r="F45" s="25" t="s">
        <v>114</v>
      </c>
      <c r="G45" s="25" t="s">
        <v>114</v>
      </c>
    </row>
    <row r="46" spans="1:7" ht="15" customHeight="1" x14ac:dyDescent="0.25">
      <c r="A46" s="6" t="s">
        <v>52</v>
      </c>
      <c r="B46" s="12">
        <v>-1.51531669028671E-2</v>
      </c>
      <c r="C46" s="12">
        <v>-2.21263006439614E-2</v>
      </c>
      <c r="D46" s="26">
        <v>-1.6219405203163899</v>
      </c>
      <c r="E46" s="26">
        <v>-1.4081709903580599</v>
      </c>
      <c r="F46" s="20" t="s">
        <v>114</v>
      </c>
      <c r="G46" s="20" t="s">
        <v>114</v>
      </c>
    </row>
    <row r="47" spans="1:7" ht="15" customHeight="1" x14ac:dyDescent="0.25">
      <c r="A47" s="3" t="s">
        <v>53</v>
      </c>
      <c r="B47" s="13">
        <v>1.3836617223821101E-3</v>
      </c>
      <c r="C47" s="13">
        <v>3.2298582451114997E-4</v>
      </c>
      <c r="D47" s="24">
        <v>-9.9155294597198407E-2</v>
      </c>
      <c r="E47" s="24">
        <v>-0.145051146470979</v>
      </c>
      <c r="F47" s="25" t="s">
        <v>114</v>
      </c>
      <c r="G47" s="25" t="s">
        <v>114</v>
      </c>
    </row>
    <row r="48" spans="1:7" ht="15" customHeight="1" x14ac:dyDescent="0.25">
      <c r="A48" s="6" t="s">
        <v>54</v>
      </c>
      <c r="B48" s="12">
        <v>6.5218592825955204E-3</v>
      </c>
      <c r="C48" s="12">
        <v>1.00272655521275E-2</v>
      </c>
      <c r="D48" s="26">
        <v>0.37399294372781899</v>
      </c>
      <c r="E48" s="26">
        <v>0.40096479536297802</v>
      </c>
      <c r="F48" s="20" t="s">
        <v>114</v>
      </c>
      <c r="G48" s="20" t="s">
        <v>114</v>
      </c>
    </row>
    <row r="49" spans="1:7" ht="15" customHeight="1" x14ac:dyDescent="0.25">
      <c r="A49" s="3" t="s">
        <v>55</v>
      </c>
      <c r="B49" s="13">
        <v>2.1141068584921201E-2</v>
      </c>
      <c r="C49" s="13">
        <v>2.5787202301667599E-2</v>
      </c>
      <c r="D49" s="24">
        <v>1.7201951957900801</v>
      </c>
      <c r="E49" s="24">
        <v>1.2877051768315</v>
      </c>
      <c r="F49" s="25" t="s">
        <v>114</v>
      </c>
      <c r="G49" s="25" t="s">
        <v>114</v>
      </c>
    </row>
    <row r="50" spans="1:7" ht="15" customHeight="1" x14ac:dyDescent="0.25">
      <c r="A50" s="6" t="s">
        <v>56</v>
      </c>
      <c r="B50" s="12">
        <v>1.2959776295977599E-2</v>
      </c>
      <c r="C50" s="12">
        <v>3.28953063591821E-2</v>
      </c>
      <c r="D50" s="26">
        <v>0.96682516897177895</v>
      </c>
      <c r="E50" s="26">
        <v>1.6876460524611101</v>
      </c>
      <c r="F50" s="20" t="s">
        <v>114</v>
      </c>
      <c r="G50" s="20" t="s">
        <v>114</v>
      </c>
    </row>
    <row r="51" spans="1:7" ht="15" customHeight="1" x14ac:dyDescent="0.25">
      <c r="A51" s="3" t="s">
        <v>57</v>
      </c>
      <c r="B51" s="13">
        <v>7.1667462971810496E-3</v>
      </c>
      <c r="C51" s="13">
        <v>1.7348597864530101E-2</v>
      </c>
      <c r="D51" s="24">
        <v>0.433377027600443</v>
      </c>
      <c r="E51" s="24">
        <v>0.812903060771761</v>
      </c>
      <c r="F51" s="25" t="s">
        <v>114</v>
      </c>
      <c r="G51" s="25" t="s">
        <v>114</v>
      </c>
    </row>
    <row r="52" spans="1:7" ht="15" customHeight="1" x14ac:dyDescent="0.25">
      <c r="A52" s="6" t="s">
        <v>58</v>
      </c>
      <c r="B52" s="12">
        <v>-2.0345772717689201E-2</v>
      </c>
      <c r="C52" s="12">
        <v>-2.7861073582232301E-2</v>
      </c>
      <c r="D52" s="26">
        <v>-2.1000989143461601</v>
      </c>
      <c r="E52" s="26">
        <v>-1.7308407335006599</v>
      </c>
      <c r="F52" s="20" t="s">
        <v>114</v>
      </c>
      <c r="G52" s="20" t="s">
        <v>114</v>
      </c>
    </row>
    <row r="53" spans="1:7" ht="15" customHeight="1" x14ac:dyDescent="0.25">
      <c r="A53" s="3" t="s">
        <v>59</v>
      </c>
      <c r="B53" s="13">
        <v>2.3619928978801202E-2</v>
      </c>
      <c r="C53" s="13">
        <v>4.2269037167601699E-2</v>
      </c>
      <c r="D53" s="24">
        <v>1.94845976029415</v>
      </c>
      <c r="E53" s="24">
        <v>2.2150635012071298</v>
      </c>
      <c r="F53" s="25" t="s">
        <v>114</v>
      </c>
      <c r="G53" s="25" t="s">
        <v>114</v>
      </c>
    </row>
    <row r="54" spans="1:7" ht="15" customHeight="1" x14ac:dyDescent="0.25">
      <c r="A54" s="6" t="s">
        <v>60</v>
      </c>
      <c r="B54" s="12">
        <v>6.8331143232589304E-3</v>
      </c>
      <c r="C54" s="12">
        <v>1.8391141031269698E-2</v>
      </c>
      <c r="D54" s="26">
        <v>0.402654701559015</v>
      </c>
      <c r="E54" s="26">
        <v>0.87156225084744798</v>
      </c>
      <c r="F54" s="20" t="s">
        <v>114</v>
      </c>
      <c r="G54" s="20" t="s">
        <v>114</v>
      </c>
    </row>
    <row r="55" spans="1:7" ht="15" customHeight="1" x14ac:dyDescent="0.25">
      <c r="A55" s="3" t="s">
        <v>61</v>
      </c>
      <c r="B55" s="13">
        <v>3.9154267815191901E-3</v>
      </c>
      <c r="C55" s="13">
        <v>1.3747844414638799E-2</v>
      </c>
      <c r="D55" s="24">
        <v>0.13398096837159801</v>
      </c>
      <c r="E55" s="24">
        <v>0.61030494515281097</v>
      </c>
      <c r="F55" s="25" t="s">
        <v>114</v>
      </c>
      <c r="G55" s="25" t="s">
        <v>114</v>
      </c>
    </row>
    <row r="56" spans="1:7" ht="15" customHeight="1" x14ac:dyDescent="0.25">
      <c r="A56" s="6" t="s">
        <v>62</v>
      </c>
      <c r="B56" s="12">
        <v>1.9760790431617201E-2</v>
      </c>
      <c r="C56" s="12">
        <v>1.51679818551245E-2</v>
      </c>
      <c r="D56" s="26">
        <v>1.59309300305011</v>
      </c>
      <c r="E56" s="26">
        <v>0.69020965769873699</v>
      </c>
      <c r="F56" s="20" t="s">
        <v>114</v>
      </c>
      <c r="G56" s="20" t="s">
        <v>114</v>
      </c>
    </row>
    <row r="57" spans="1:7" ht="15" customHeight="1" x14ac:dyDescent="0.25">
      <c r="A57" s="3" t="s">
        <v>63</v>
      </c>
      <c r="B57" s="13">
        <v>6.3742988271290203E-3</v>
      </c>
      <c r="C57" s="13">
        <v>1.84012908831379E-2</v>
      </c>
      <c r="D57" s="24">
        <v>0.36040491626639298</v>
      </c>
      <c r="E57" s="24">
        <v>0.87213333711895002</v>
      </c>
      <c r="F57" s="25" t="s">
        <v>114</v>
      </c>
      <c r="G57" s="25" t="s">
        <v>114</v>
      </c>
    </row>
    <row r="58" spans="1:7" ht="15" customHeight="1" x14ac:dyDescent="0.25">
      <c r="A58" s="6" t="s">
        <v>64</v>
      </c>
      <c r="B58" s="12">
        <v>6.08056751963525E-3</v>
      </c>
      <c r="C58" s="12">
        <v>9.2781620402815901E-3</v>
      </c>
      <c r="D58" s="26">
        <v>0.333356822250365</v>
      </c>
      <c r="E58" s="26">
        <v>0.35881612786448502</v>
      </c>
      <c r="F58" s="20" t="s">
        <v>114</v>
      </c>
      <c r="G58" s="20" t="s">
        <v>114</v>
      </c>
    </row>
    <row r="59" spans="1:7" ht="15" customHeight="1" x14ac:dyDescent="0.25">
      <c r="A59" s="3" t="s">
        <v>65</v>
      </c>
      <c r="B59" s="13">
        <v>9.4686476957944899E-3</v>
      </c>
      <c r="C59" s="13">
        <v>2.01518559330989E-2</v>
      </c>
      <c r="D59" s="24">
        <v>0.64534641546232296</v>
      </c>
      <c r="E59" s="24">
        <v>0.97062971720329205</v>
      </c>
      <c r="F59" s="25" t="s">
        <v>114</v>
      </c>
      <c r="G59" s="25" t="s">
        <v>114</v>
      </c>
    </row>
    <row r="62" spans="1:7" ht="15" customHeight="1" x14ac:dyDescent="0.25">
      <c r="A62" s="27" t="s">
        <v>116</v>
      </c>
    </row>
    <row r="63" spans="1:7" ht="15" customHeight="1" x14ac:dyDescent="0.25">
      <c r="A63" s="2" t="s">
        <v>92</v>
      </c>
      <c r="B63" s="28">
        <v>-3.2342093374298799</v>
      </c>
      <c r="C63" s="28">
        <v>-3.8344074675540898</v>
      </c>
    </row>
    <row r="64" spans="1:7" ht="15" customHeight="1" x14ac:dyDescent="0.25">
      <c r="A64" s="16" t="s">
        <v>117</v>
      </c>
      <c r="B64" s="29">
        <v>1.94845976029415</v>
      </c>
      <c r="C64" s="29">
        <v>2.2150635012071298</v>
      </c>
    </row>
    <row r="65" spans="1:3" ht="15" customHeight="1" x14ac:dyDescent="0.25">
      <c r="A65" s="16" t="s">
        <v>118</v>
      </c>
      <c r="B65" s="29">
        <v>1</v>
      </c>
      <c r="C65" s="29">
        <v>1</v>
      </c>
    </row>
    <row r="66" spans="1:3" ht="15" customHeight="1" x14ac:dyDescent="0.25">
      <c r="A66" s="16" t="s">
        <v>119</v>
      </c>
      <c r="B66" s="29">
        <f>COUNTIF(F3:F59,"OUTLIER")</f>
        <v>1</v>
      </c>
      <c r="C66" s="29">
        <f>COUNTIF(G3:G59,"OUTLIER")</f>
        <v>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zoomScaleNormal="100" workbookViewId="0"/>
  </sheetViews>
  <sheetFormatPr defaultColWidth="8.7109375" defaultRowHeight="15" x14ac:dyDescent="0.25"/>
  <cols>
    <col min="1" max="6" width="22" style="1" customWidth="1"/>
    <col min="7" max="7" width="40" style="1" customWidth="1"/>
  </cols>
  <sheetData>
    <row r="1" spans="1:7" ht="24" customHeight="1" x14ac:dyDescent="0.25">
      <c r="A1" s="47" t="s">
        <v>120</v>
      </c>
      <c r="B1" s="47"/>
      <c r="C1" s="47"/>
      <c r="D1" s="47"/>
      <c r="E1" s="47"/>
      <c r="F1" s="47"/>
      <c r="G1" s="47"/>
    </row>
    <row r="2" spans="1:7" ht="15" customHeight="1" x14ac:dyDescent="0.25">
      <c r="A2" s="2" t="s">
        <v>1</v>
      </c>
      <c r="B2" s="2" t="s">
        <v>108</v>
      </c>
      <c r="C2" s="2" t="s">
        <v>109</v>
      </c>
      <c r="D2" s="2" t="s">
        <v>121</v>
      </c>
      <c r="E2" s="2" t="s">
        <v>122</v>
      </c>
      <c r="F2" s="2" t="s">
        <v>123</v>
      </c>
    </row>
    <row r="3" spans="1:7" ht="15" customHeight="1" x14ac:dyDescent="0.25">
      <c r="A3" s="3" t="s">
        <v>9</v>
      </c>
      <c r="B3" s="30">
        <v>8.0086951547386504E-4</v>
      </c>
      <c r="C3" s="30">
        <v>3.1137020187167299E-3</v>
      </c>
      <c r="D3" s="30">
        <v>-1.6595784052150699E-3</v>
      </c>
      <c r="E3" s="30">
        <v>2.1273853399674699E-4</v>
      </c>
      <c r="F3" s="31">
        <v>-3.5305627697811299E-7</v>
      </c>
    </row>
    <row r="4" spans="1:7" ht="15" customHeight="1" x14ac:dyDescent="0.25">
      <c r="A4" s="6" t="s">
        <v>10</v>
      </c>
      <c r="B4" s="32">
        <v>-1.14318376679051E-2</v>
      </c>
      <c r="C4" s="32">
        <v>-5.3630861025367096E-3</v>
      </c>
      <c r="D4" s="32">
        <v>-1.38922855885941E-2</v>
      </c>
      <c r="E4" s="32">
        <v>-8.2640495872566902E-3</v>
      </c>
      <c r="F4" s="33">
        <v>1.14806536984473E-4</v>
      </c>
    </row>
    <row r="5" spans="1:7" ht="15" customHeight="1" x14ac:dyDescent="0.25">
      <c r="A5" s="3" t="s">
        <v>11</v>
      </c>
      <c r="B5" s="30">
        <v>5.7820179242667399E-5</v>
      </c>
      <c r="C5" s="30">
        <v>9.6570616179480102E-3</v>
      </c>
      <c r="D5" s="30">
        <v>-2.4026277414462699E-3</v>
      </c>
      <c r="E5" s="30">
        <v>6.7560981332280201E-3</v>
      </c>
      <c r="F5" s="31">
        <v>-1.6232388798826999E-5</v>
      </c>
    </row>
    <row r="6" spans="1:7" ht="15" customHeight="1" x14ac:dyDescent="0.25">
      <c r="A6" s="6" t="s">
        <v>12</v>
      </c>
      <c r="B6" s="32">
        <v>-1.9657724329324899E-3</v>
      </c>
      <c r="C6" s="32">
        <v>3.5717352107837701E-3</v>
      </c>
      <c r="D6" s="32">
        <v>-4.4262203536214201E-3</v>
      </c>
      <c r="E6" s="32">
        <v>6.7077172606378496E-4</v>
      </c>
      <c r="F6" s="33">
        <v>-2.9689834665372999E-6</v>
      </c>
    </row>
    <row r="7" spans="1:7" ht="15" customHeight="1" x14ac:dyDescent="0.25">
      <c r="A7" s="3" t="s">
        <v>13</v>
      </c>
      <c r="B7" s="30">
        <v>4.9820414783917598E-3</v>
      </c>
      <c r="C7" s="30">
        <v>5.2529815375666001E-3</v>
      </c>
      <c r="D7" s="30">
        <v>2.52159355770282E-3</v>
      </c>
      <c r="E7" s="30">
        <v>2.3520180528466199E-3</v>
      </c>
      <c r="F7" s="31">
        <v>5.93083356965878E-6</v>
      </c>
    </row>
    <row r="8" spans="1:7" ht="15" customHeight="1" x14ac:dyDescent="0.25">
      <c r="A8" s="6" t="s">
        <v>14</v>
      </c>
      <c r="B8" s="32">
        <v>1.35462301129815E-2</v>
      </c>
      <c r="C8" s="32">
        <v>8.1872340425530998E-3</v>
      </c>
      <c r="D8" s="32">
        <v>1.10857821922925E-2</v>
      </c>
      <c r="E8" s="32">
        <v>5.28627055783312E-3</v>
      </c>
      <c r="F8" s="33">
        <v>5.8602444013666599E-5</v>
      </c>
    </row>
    <row r="9" spans="1:7" ht="15" customHeight="1" x14ac:dyDescent="0.25">
      <c r="A9" s="3" t="s">
        <v>15</v>
      </c>
      <c r="B9" s="30">
        <v>-5.8010578399591102E-3</v>
      </c>
      <c r="C9" s="30">
        <v>2.6185612263848499E-2</v>
      </c>
      <c r="D9" s="30">
        <v>-8.2615057606480399E-3</v>
      </c>
      <c r="E9" s="30">
        <v>2.3284648779128499E-2</v>
      </c>
      <c r="F9" s="31">
        <v>-1.9236626002343699E-4</v>
      </c>
    </row>
    <row r="10" spans="1:7" ht="15" customHeight="1" x14ac:dyDescent="0.25">
      <c r="A10" s="6" t="s">
        <v>16</v>
      </c>
      <c r="B10" s="32">
        <v>1.53881356901779E-2</v>
      </c>
      <c r="C10" s="32">
        <v>2.4250600506728798E-2</v>
      </c>
      <c r="D10" s="32">
        <v>1.2927687769489001E-2</v>
      </c>
      <c r="E10" s="32">
        <v>2.1349637022008799E-2</v>
      </c>
      <c r="F10" s="33">
        <v>2.76001441412452E-4</v>
      </c>
    </row>
    <row r="11" spans="1:7" ht="15" customHeight="1" x14ac:dyDescent="0.25">
      <c r="A11" s="3" t="s">
        <v>17</v>
      </c>
      <c r="B11" s="30">
        <v>6.4225352112675304E-3</v>
      </c>
      <c r="C11" s="30">
        <v>1.2336160370084901E-2</v>
      </c>
      <c r="D11" s="30">
        <v>3.9620872905785903E-3</v>
      </c>
      <c r="E11" s="30">
        <v>9.4351968853649305E-3</v>
      </c>
      <c r="F11" s="31">
        <v>3.7383073663611097E-5</v>
      </c>
    </row>
    <row r="12" spans="1:7" ht="15" customHeight="1" x14ac:dyDescent="0.25">
      <c r="A12" s="6" t="s">
        <v>18</v>
      </c>
      <c r="B12" s="32">
        <v>1.19793999104345E-2</v>
      </c>
      <c r="C12" s="32">
        <v>5.5217060167555504E-3</v>
      </c>
      <c r="D12" s="32">
        <v>9.5189519897455402E-3</v>
      </c>
      <c r="E12" s="32">
        <v>2.6207425320355698E-3</v>
      </c>
      <c r="F12" s="33">
        <v>2.49467223399307E-5</v>
      </c>
    </row>
    <row r="13" spans="1:7" ht="15" customHeight="1" x14ac:dyDescent="0.25">
      <c r="A13" s="3" t="s">
        <v>19</v>
      </c>
      <c r="B13" s="30">
        <v>-3.81679389312976E-3</v>
      </c>
      <c r="C13" s="30">
        <v>-7.22716657198769E-3</v>
      </c>
      <c r="D13" s="30">
        <v>-6.2772418138186898E-3</v>
      </c>
      <c r="E13" s="30">
        <v>-1.01281300567077E-2</v>
      </c>
      <c r="F13" s="31">
        <v>6.3576721487759296E-5</v>
      </c>
    </row>
    <row r="14" spans="1:7" ht="15" customHeight="1" x14ac:dyDescent="0.25">
      <c r="A14" s="6" t="s">
        <v>20</v>
      </c>
      <c r="B14" s="32">
        <v>-1.4992503748125999E-2</v>
      </c>
      <c r="C14" s="32">
        <v>-2.74978542136885E-2</v>
      </c>
      <c r="D14" s="32">
        <v>-1.7452951668815001E-2</v>
      </c>
      <c r="E14" s="32">
        <v>-3.0398817698408399E-2</v>
      </c>
      <c r="F14" s="33">
        <v>5.3054909607944004E-4</v>
      </c>
    </row>
    <row r="15" spans="1:7" ht="15" customHeight="1" x14ac:dyDescent="0.25">
      <c r="A15" s="3" t="s">
        <v>21</v>
      </c>
      <c r="B15" s="30">
        <v>2.7622752128079902E-3</v>
      </c>
      <c r="C15" s="30">
        <v>-1.07544456066946E-2</v>
      </c>
      <c r="D15" s="30">
        <v>3.01827292119054E-4</v>
      </c>
      <c r="E15" s="30">
        <v>-1.36554090914146E-2</v>
      </c>
      <c r="F15" s="31">
        <v>-4.1215751488395898E-6</v>
      </c>
    </row>
    <row r="16" spans="1:7" ht="15" customHeight="1" x14ac:dyDescent="0.25">
      <c r="A16" s="6" t="s">
        <v>22</v>
      </c>
      <c r="B16" s="32">
        <v>-7.4769507533167497E-3</v>
      </c>
      <c r="C16" s="32">
        <v>-5.9809007699170701E-3</v>
      </c>
      <c r="D16" s="32">
        <v>-9.9373986740056899E-3</v>
      </c>
      <c r="E16" s="32">
        <v>-8.8818642546370508E-3</v>
      </c>
      <c r="F16" s="33">
        <v>8.8262626066728804E-5</v>
      </c>
    </row>
    <row r="17" spans="1:6" ht="15" customHeight="1" x14ac:dyDescent="0.25">
      <c r="A17" s="3" t="s">
        <v>23</v>
      </c>
      <c r="B17" s="30">
        <v>8.2129708297931907E-3</v>
      </c>
      <c r="C17" s="30">
        <v>-5.3187952928660503E-3</v>
      </c>
      <c r="D17" s="30">
        <v>5.7525229091042601E-3</v>
      </c>
      <c r="E17" s="30">
        <v>-8.2197587775860396E-3</v>
      </c>
      <c r="F17" s="31">
        <v>-4.7284350675374498E-5</v>
      </c>
    </row>
    <row r="18" spans="1:6" ht="15" customHeight="1" x14ac:dyDescent="0.25">
      <c r="A18" s="6" t="s">
        <v>24</v>
      </c>
      <c r="B18" s="32">
        <v>4.8876404494382301E-3</v>
      </c>
      <c r="C18" s="32">
        <v>4.2443686919322998E-3</v>
      </c>
      <c r="D18" s="32">
        <v>2.4271925287492899E-3</v>
      </c>
      <c r="E18" s="32">
        <v>1.34340520721231E-3</v>
      </c>
      <c r="F18" s="33">
        <v>3.2607030820286199E-6</v>
      </c>
    </row>
    <row r="19" spans="1:6" ht="15" customHeight="1" x14ac:dyDescent="0.25">
      <c r="A19" s="3" t="s">
        <v>25</v>
      </c>
      <c r="B19" s="30">
        <v>9.6718287024095198E-3</v>
      </c>
      <c r="C19" s="30">
        <v>9.08516090385709E-3</v>
      </c>
      <c r="D19" s="30">
        <v>7.2113807817205796E-3</v>
      </c>
      <c r="E19" s="30">
        <v>6.1841974191371102E-3</v>
      </c>
      <c r="F19" s="31">
        <v>4.45966024187314E-5</v>
      </c>
    </row>
    <row r="20" spans="1:6" ht="15" customHeight="1" x14ac:dyDescent="0.25">
      <c r="A20" s="6" t="s">
        <v>26</v>
      </c>
      <c r="B20" s="32">
        <v>7.4197120708748799E-3</v>
      </c>
      <c r="C20" s="32">
        <v>1.0652331640393E-2</v>
      </c>
      <c r="D20" s="32">
        <v>4.9592641501859502E-3</v>
      </c>
      <c r="E20" s="32">
        <v>7.7513681556730003E-3</v>
      </c>
      <c r="F20" s="33">
        <v>3.84410822093221E-5</v>
      </c>
    </row>
    <row r="21" spans="1:6" ht="15" customHeight="1" x14ac:dyDescent="0.25">
      <c r="A21" s="3" t="s">
        <v>27</v>
      </c>
      <c r="B21" s="30">
        <v>1.5609541607123301E-2</v>
      </c>
      <c r="C21" s="30">
        <v>9.1695219448523508E-3</v>
      </c>
      <c r="D21" s="30">
        <v>1.3149093686434301E-2</v>
      </c>
      <c r="E21" s="30">
        <v>6.2685584601323702E-3</v>
      </c>
      <c r="F21" s="31">
        <v>8.2425862471170895E-5</v>
      </c>
    </row>
    <row r="22" spans="1:6" ht="15" customHeight="1" x14ac:dyDescent="0.25">
      <c r="A22" s="6" t="s">
        <v>28</v>
      </c>
      <c r="B22" s="32">
        <v>8.4965905401017099E-3</v>
      </c>
      <c r="C22" s="32">
        <v>1.17700316885468E-2</v>
      </c>
      <c r="D22" s="32">
        <v>6.0361426194127698E-3</v>
      </c>
      <c r="E22" s="32">
        <v>8.8690682038268295E-3</v>
      </c>
      <c r="F22" s="33">
        <v>5.3534960579597797E-5</v>
      </c>
    </row>
    <row r="23" spans="1:6" ht="15" customHeight="1" x14ac:dyDescent="0.25">
      <c r="A23" s="3" t="s">
        <v>29</v>
      </c>
      <c r="B23" s="30">
        <v>7.5127448349887203E-4</v>
      </c>
      <c r="C23" s="30">
        <v>-6.7114093959725002E-4</v>
      </c>
      <c r="D23" s="30">
        <v>-1.70917343719006E-3</v>
      </c>
      <c r="E23" s="30">
        <v>-3.5721044243172302E-3</v>
      </c>
      <c r="F23" s="31">
        <v>6.10534599691212E-6</v>
      </c>
    </row>
    <row r="24" spans="1:6" ht="15" customHeight="1" x14ac:dyDescent="0.25">
      <c r="A24" s="6" t="s">
        <v>30</v>
      </c>
      <c r="B24" s="32">
        <v>2.6811089066437902E-3</v>
      </c>
      <c r="C24" s="32">
        <v>5.4526847676612099E-3</v>
      </c>
      <c r="D24" s="32">
        <v>2.2066098595485299E-4</v>
      </c>
      <c r="E24" s="32">
        <v>2.5517212829412302E-3</v>
      </c>
      <c r="F24" s="33">
        <v>5.6306533417579405E-7</v>
      </c>
    </row>
    <row r="25" spans="1:6" ht="15" customHeight="1" x14ac:dyDescent="0.25">
      <c r="A25" s="3" t="s">
        <v>31</v>
      </c>
      <c r="B25" s="30">
        <v>-1.44392748275314E-3</v>
      </c>
      <c r="C25" s="30">
        <v>-2.3855341210897098E-3</v>
      </c>
      <c r="D25" s="30">
        <v>-3.90437540344208E-3</v>
      </c>
      <c r="E25" s="30">
        <v>-5.2864976058097004E-3</v>
      </c>
      <c r="F25" s="31">
        <v>2.0640471222478801E-5</v>
      </c>
    </row>
    <row r="26" spans="1:6" ht="15" customHeight="1" x14ac:dyDescent="0.25">
      <c r="A26" s="6" t="s">
        <v>32</v>
      </c>
      <c r="B26" s="32">
        <v>-1.51563838903171E-2</v>
      </c>
      <c r="C26" s="32">
        <v>-1.07765148495911E-2</v>
      </c>
      <c r="D26" s="32">
        <v>-1.7616831811006099E-2</v>
      </c>
      <c r="E26" s="32">
        <v>-1.3677478334311099E-2</v>
      </c>
      <c r="F26" s="33">
        <v>2.40953835414237E-4</v>
      </c>
    </row>
    <row r="27" spans="1:6" ht="15" customHeight="1" x14ac:dyDescent="0.25">
      <c r="A27" s="3" t="s">
        <v>33</v>
      </c>
      <c r="B27" s="30">
        <v>1.84893142639623E-3</v>
      </c>
      <c r="C27" s="30">
        <v>-6.60725508839222E-3</v>
      </c>
      <c r="D27" s="30">
        <v>-6.1151649429270105E-4</v>
      </c>
      <c r="E27" s="30">
        <v>-9.5082185731122006E-3</v>
      </c>
      <c r="F27" s="31">
        <v>5.81443248879832E-6</v>
      </c>
    </row>
    <row r="28" spans="1:6" ht="15" customHeight="1" x14ac:dyDescent="0.25">
      <c r="A28" s="6" t="s">
        <v>34</v>
      </c>
      <c r="B28" s="32">
        <v>5.3737176355642896E-3</v>
      </c>
      <c r="C28" s="32">
        <v>4.8505101958048902E-3</v>
      </c>
      <c r="D28" s="32">
        <v>2.9132697148753599E-3</v>
      </c>
      <c r="E28" s="32">
        <v>1.9495467110849101E-3</v>
      </c>
      <c r="F28" s="33">
        <v>5.6795553911385198E-6</v>
      </c>
    </row>
    <row r="29" spans="1:6" ht="15" customHeight="1" x14ac:dyDescent="0.25">
      <c r="A29" s="3" t="s">
        <v>35</v>
      </c>
      <c r="B29" s="30">
        <v>5.7769139401792104E-3</v>
      </c>
      <c r="C29" s="30">
        <v>5.3437086306545797E-3</v>
      </c>
      <c r="D29" s="30">
        <v>3.3164660194902802E-3</v>
      </c>
      <c r="E29" s="30">
        <v>2.4427451459346E-3</v>
      </c>
      <c r="F29" s="31">
        <v>8.1012812707669001E-6</v>
      </c>
    </row>
    <row r="30" spans="1:6" ht="15" customHeight="1" x14ac:dyDescent="0.25">
      <c r="A30" s="6" t="s">
        <v>36</v>
      </c>
      <c r="B30" s="32">
        <v>1.04675505931613E-2</v>
      </c>
      <c r="C30" s="32">
        <v>1.1321118301671601E-2</v>
      </c>
      <c r="D30" s="32">
        <v>8.0071026724723594E-3</v>
      </c>
      <c r="E30" s="32">
        <v>8.4201548169516201E-3</v>
      </c>
      <c r="F30" s="33">
        <v>6.74210441374443E-5</v>
      </c>
    </row>
    <row r="31" spans="1:6" ht="15" customHeight="1" x14ac:dyDescent="0.25">
      <c r="A31" s="3" t="s">
        <v>37</v>
      </c>
      <c r="B31" s="30">
        <v>8.6060348491288005E-3</v>
      </c>
      <c r="C31" s="30">
        <v>1.01940360125759E-2</v>
      </c>
      <c r="D31" s="30">
        <v>6.1455869284398603E-3</v>
      </c>
      <c r="E31" s="30">
        <v>7.2930725278559502E-3</v>
      </c>
      <c r="F31" s="31">
        <v>4.4820211195355401E-5</v>
      </c>
    </row>
    <row r="32" spans="1:6" ht="15" customHeight="1" x14ac:dyDescent="0.25">
      <c r="A32" s="6" t="s">
        <v>38</v>
      </c>
      <c r="B32" s="32">
        <v>1.47477088380898E-3</v>
      </c>
      <c r="C32" s="32">
        <v>3.8195535994969402E-3</v>
      </c>
      <c r="D32" s="32">
        <v>-9.8567703687995603E-4</v>
      </c>
      <c r="E32" s="32">
        <v>9.1859011477695102E-4</v>
      </c>
      <c r="F32" s="33">
        <v>-9.0543318244056399E-7</v>
      </c>
    </row>
    <row r="33" spans="1:6" ht="15" customHeight="1" x14ac:dyDescent="0.25">
      <c r="A33" s="3" t="s">
        <v>39</v>
      </c>
      <c r="B33" s="30">
        <v>9.1511517828968599E-3</v>
      </c>
      <c r="C33" s="30">
        <v>7.9545276607739107E-3</v>
      </c>
      <c r="D33" s="30">
        <v>6.6907038622079302E-3</v>
      </c>
      <c r="E33" s="30">
        <v>5.0535641760539301E-3</v>
      </c>
      <c r="F33" s="31">
        <v>3.3811901350639599E-5</v>
      </c>
    </row>
    <row r="34" spans="1:6" ht="15" customHeight="1" x14ac:dyDescent="0.25">
      <c r="A34" s="6" t="s">
        <v>40</v>
      </c>
      <c r="B34" s="32">
        <v>1.04231811548894E-3</v>
      </c>
      <c r="C34" s="32">
        <v>3.3089434683320098E-3</v>
      </c>
      <c r="D34" s="32">
        <v>-1.4181298052E-3</v>
      </c>
      <c r="E34" s="32">
        <v>4.0797998361202201E-4</v>
      </c>
      <c r="F34" s="33">
        <v>-5.7856857468521597E-7</v>
      </c>
    </row>
    <row r="35" spans="1:6" ht="15" customHeight="1" x14ac:dyDescent="0.25">
      <c r="A35" s="3" t="s">
        <v>41</v>
      </c>
      <c r="B35" s="30">
        <v>7.7051228654726701E-3</v>
      </c>
      <c r="C35" s="30">
        <v>5.2334943639291403E-3</v>
      </c>
      <c r="D35" s="30">
        <v>5.2446749447837299E-3</v>
      </c>
      <c r="E35" s="30">
        <v>2.3325308792091601E-3</v>
      </c>
      <c r="F35" s="31">
        <v>1.2233366260122599E-5</v>
      </c>
    </row>
    <row r="36" spans="1:6" ht="15" customHeight="1" x14ac:dyDescent="0.25">
      <c r="A36" s="6" t="s">
        <v>42</v>
      </c>
      <c r="B36" s="32">
        <v>1.16759661087001E-2</v>
      </c>
      <c r="C36" s="32">
        <v>-6.5247527802593894E-2</v>
      </c>
      <c r="D36" s="32">
        <v>9.2155181880111594E-3</v>
      </c>
      <c r="E36" s="32">
        <v>-6.81484912873139E-2</v>
      </c>
      <c r="F36" s="33">
        <v>-6.28023660943761E-4</v>
      </c>
    </row>
    <row r="37" spans="1:6" ht="15" customHeight="1" x14ac:dyDescent="0.25">
      <c r="A37" s="3" t="s">
        <v>43</v>
      </c>
      <c r="B37" s="30">
        <v>-1.9763047696864499E-2</v>
      </c>
      <c r="C37" s="30">
        <v>-2.6892528754572799E-2</v>
      </c>
      <c r="D37" s="30">
        <v>-2.22234956175534E-2</v>
      </c>
      <c r="E37" s="30">
        <v>-2.9793492239292799E-2</v>
      </c>
      <c r="F37" s="31">
        <v>6.6211554421153501E-4</v>
      </c>
    </row>
    <row r="38" spans="1:6" ht="15" customHeight="1" x14ac:dyDescent="0.25">
      <c r="A38" s="6" t="s">
        <v>44</v>
      </c>
      <c r="B38" s="32">
        <v>3.2821047147695999E-3</v>
      </c>
      <c r="C38" s="32">
        <v>-1.1972093338300399E-2</v>
      </c>
      <c r="D38" s="32">
        <v>8.2165679408066096E-4</v>
      </c>
      <c r="E38" s="32">
        <v>-1.4873056823020399E-2</v>
      </c>
      <c r="F38" s="33">
        <v>-1.2220548187382499E-5</v>
      </c>
    </row>
    <row r="39" spans="1:6" ht="15" customHeight="1" x14ac:dyDescent="0.25">
      <c r="A39" s="3" t="s">
        <v>45</v>
      </c>
      <c r="B39" s="30">
        <v>-3.26617509606398E-2</v>
      </c>
      <c r="C39" s="30">
        <v>-3.5271736336058498E-2</v>
      </c>
      <c r="D39" s="30">
        <v>-3.5122198881328802E-2</v>
      </c>
      <c r="E39" s="30">
        <v>-3.8172699820778498E-2</v>
      </c>
      <c r="F39" s="31">
        <v>1.3407091549426399E-3</v>
      </c>
    </row>
    <row r="40" spans="1:6" ht="15" customHeight="1" x14ac:dyDescent="0.25">
      <c r="A40" s="6" t="s">
        <v>46</v>
      </c>
      <c r="B40" s="32">
        <v>-1.37420151376886E-2</v>
      </c>
      <c r="C40" s="32">
        <v>-1.5136172253903899E-2</v>
      </c>
      <c r="D40" s="32">
        <v>-1.6202463058377501E-2</v>
      </c>
      <c r="E40" s="32">
        <v>-1.8037135738623901E-2</v>
      </c>
      <c r="F40" s="33">
        <v>2.92246025483994E-4</v>
      </c>
    </row>
    <row r="41" spans="1:6" ht="15" customHeight="1" x14ac:dyDescent="0.25">
      <c r="A41" s="3" t="s">
        <v>47</v>
      </c>
      <c r="B41" s="30">
        <v>-2.06825232678384E-3</v>
      </c>
      <c r="C41" s="30">
        <v>1.1634828724498201E-2</v>
      </c>
      <c r="D41" s="30">
        <v>-4.5287002474727802E-3</v>
      </c>
      <c r="E41" s="30">
        <v>8.7338652397781803E-3</v>
      </c>
      <c r="F41" s="31">
        <v>-3.9553057672777299E-5</v>
      </c>
    </row>
    <row r="42" spans="1:6" ht="15" customHeight="1" x14ac:dyDescent="0.25">
      <c r="A42" s="6" t="s">
        <v>48</v>
      </c>
      <c r="B42" s="32">
        <v>4.58140169075541E-3</v>
      </c>
      <c r="C42" s="32">
        <v>1.33554438144144E-2</v>
      </c>
      <c r="D42" s="32">
        <v>2.1209537700664699E-3</v>
      </c>
      <c r="E42" s="32">
        <v>1.0454480329694401E-2</v>
      </c>
      <c r="F42" s="33">
        <v>2.2173469469351201E-5</v>
      </c>
    </row>
    <row r="43" spans="1:6" ht="15" customHeight="1" x14ac:dyDescent="0.25">
      <c r="A43" s="3" t="s">
        <v>49</v>
      </c>
      <c r="B43" s="30">
        <v>7.1665128400021398E-3</v>
      </c>
      <c r="C43" s="30">
        <v>1.53613344829407E-2</v>
      </c>
      <c r="D43" s="30">
        <v>4.7060649193131996E-3</v>
      </c>
      <c r="E43" s="30">
        <v>1.2460370998220701E-2</v>
      </c>
      <c r="F43" s="31">
        <v>5.8639314836354001E-5</v>
      </c>
    </row>
    <row r="44" spans="1:6" ht="15" customHeight="1" x14ac:dyDescent="0.25">
      <c r="A44" s="6" t="s">
        <v>50</v>
      </c>
      <c r="B44" s="32">
        <v>4.3663414371193096E-3</v>
      </c>
      <c r="C44" s="32">
        <v>8.7862193262166401E-3</v>
      </c>
      <c r="D44" s="32">
        <v>1.9058935164303699E-3</v>
      </c>
      <c r="E44" s="32">
        <v>5.8852558414966604E-3</v>
      </c>
      <c r="F44" s="33">
        <v>1.12166709508424E-5</v>
      </c>
    </row>
    <row r="45" spans="1:6" ht="15" customHeight="1" x14ac:dyDescent="0.25">
      <c r="A45" s="3" t="s">
        <v>51</v>
      </c>
      <c r="B45" s="30">
        <v>-1.53499355946758E-2</v>
      </c>
      <c r="C45" s="30">
        <v>-2.0958238133686202E-2</v>
      </c>
      <c r="D45" s="30">
        <v>-1.7810383515364701E-2</v>
      </c>
      <c r="E45" s="30">
        <v>-2.3859201618406101E-2</v>
      </c>
      <c r="F45" s="31">
        <v>4.2494153119422302E-4</v>
      </c>
    </row>
    <row r="46" spans="1:6" ht="15" customHeight="1" x14ac:dyDescent="0.25">
      <c r="A46" s="6" t="s">
        <v>52</v>
      </c>
      <c r="B46" s="32">
        <v>-1.51531669028671E-2</v>
      </c>
      <c r="C46" s="32">
        <v>-2.21263006439614E-2</v>
      </c>
      <c r="D46" s="32">
        <v>-1.7613614823556101E-2</v>
      </c>
      <c r="E46" s="32">
        <v>-2.5027264128681299E-2</v>
      </c>
      <c r="F46" s="33">
        <v>4.4082059044999399E-4</v>
      </c>
    </row>
    <row r="47" spans="1:6" ht="15" customHeight="1" x14ac:dyDescent="0.25">
      <c r="A47" s="3" t="s">
        <v>53</v>
      </c>
      <c r="B47" s="30">
        <v>1.3836617223821101E-3</v>
      </c>
      <c r="C47" s="30">
        <v>3.2298582451114997E-4</v>
      </c>
      <c r="D47" s="30">
        <v>-1.0767861983068199E-3</v>
      </c>
      <c r="E47" s="30">
        <v>-2.5779776602088298E-3</v>
      </c>
      <c r="F47" s="31">
        <v>2.7759307640561898E-6</v>
      </c>
    </row>
    <row r="48" spans="1:6" ht="15" customHeight="1" x14ac:dyDescent="0.25">
      <c r="A48" s="6" t="s">
        <v>54</v>
      </c>
      <c r="B48" s="32">
        <v>6.5218592825955204E-3</v>
      </c>
      <c r="C48" s="32">
        <v>1.00272655521275E-2</v>
      </c>
      <c r="D48" s="32">
        <v>4.0614113619065802E-3</v>
      </c>
      <c r="E48" s="32">
        <v>7.1263020674074999E-3</v>
      </c>
      <c r="F48" s="33">
        <v>2.8942844184947202E-5</v>
      </c>
    </row>
    <row r="49" spans="1:6" ht="15" customHeight="1" x14ac:dyDescent="0.25">
      <c r="A49" s="3" t="s">
        <v>55</v>
      </c>
      <c r="B49" s="30">
        <v>2.1141068584921201E-2</v>
      </c>
      <c r="C49" s="30">
        <v>2.5787202301667599E-2</v>
      </c>
      <c r="D49" s="30">
        <v>1.8680620664232199E-2</v>
      </c>
      <c r="E49" s="30">
        <v>2.28862388169476E-2</v>
      </c>
      <c r="F49" s="31">
        <v>4.2752914577042601E-4</v>
      </c>
    </row>
    <row r="50" spans="1:6" ht="15" customHeight="1" x14ac:dyDescent="0.25">
      <c r="A50" s="6" t="s">
        <v>56</v>
      </c>
      <c r="B50" s="32">
        <v>1.2959776295977599E-2</v>
      </c>
      <c r="C50" s="32">
        <v>3.28953063591821E-2</v>
      </c>
      <c r="D50" s="32">
        <v>1.04993283752887E-2</v>
      </c>
      <c r="E50" s="32">
        <v>2.99943428744621E-2</v>
      </c>
      <c r="F50" s="33">
        <v>3.1492045523997798E-4</v>
      </c>
    </row>
    <row r="51" spans="1:6" ht="15" customHeight="1" x14ac:dyDescent="0.25">
      <c r="A51" s="3" t="s">
        <v>57</v>
      </c>
      <c r="B51" s="30">
        <v>7.1667462971810496E-3</v>
      </c>
      <c r="C51" s="30">
        <v>1.7348597864530101E-2</v>
      </c>
      <c r="D51" s="30">
        <v>4.7062983764921199E-3</v>
      </c>
      <c r="E51" s="30">
        <v>1.4447634379810099E-2</v>
      </c>
      <c r="F51" s="31">
        <v>6.7994878225852094E-5</v>
      </c>
    </row>
    <row r="52" spans="1:6" ht="15" customHeight="1" x14ac:dyDescent="0.25">
      <c r="A52" s="6" t="s">
        <v>58</v>
      </c>
      <c r="B52" s="32">
        <v>-2.0345772717689201E-2</v>
      </c>
      <c r="C52" s="32">
        <v>-2.7861073582232301E-2</v>
      </c>
      <c r="D52" s="32">
        <v>-2.2806220638378099E-2</v>
      </c>
      <c r="E52" s="32">
        <v>-3.07620370669523E-2</v>
      </c>
      <c r="F52" s="33">
        <v>7.0156580463487904E-4</v>
      </c>
    </row>
    <row r="53" spans="1:6" ht="15" customHeight="1" x14ac:dyDescent="0.25">
      <c r="A53" s="3" t="s">
        <v>59</v>
      </c>
      <c r="B53" s="30">
        <v>2.3619928978801202E-2</v>
      </c>
      <c r="C53" s="30">
        <v>4.2269037167601699E-2</v>
      </c>
      <c r="D53" s="30">
        <v>2.11594810581122E-2</v>
      </c>
      <c r="E53" s="30">
        <v>3.9368073682881803E-2</v>
      </c>
      <c r="F53" s="31">
        <v>8.3300800938730299E-4</v>
      </c>
    </row>
    <row r="54" spans="1:6" ht="15" customHeight="1" x14ac:dyDescent="0.25">
      <c r="A54" s="6" t="s">
        <v>60</v>
      </c>
      <c r="B54" s="32">
        <v>6.8331143232589304E-3</v>
      </c>
      <c r="C54" s="32">
        <v>1.8391141031269698E-2</v>
      </c>
      <c r="D54" s="32">
        <v>4.3726664025699998E-3</v>
      </c>
      <c r="E54" s="32">
        <v>1.5490177546549799E-2</v>
      </c>
      <c r="F54" s="33">
        <v>6.7733378927642204E-5</v>
      </c>
    </row>
    <row r="55" spans="1:6" ht="15" customHeight="1" x14ac:dyDescent="0.25">
      <c r="A55" s="3" t="s">
        <v>61</v>
      </c>
      <c r="B55" s="30">
        <v>3.9154267815191901E-3</v>
      </c>
      <c r="C55" s="30">
        <v>1.3747844414638799E-2</v>
      </c>
      <c r="D55" s="30">
        <v>1.45497886083025E-3</v>
      </c>
      <c r="E55" s="30">
        <v>1.08468809299189E-2</v>
      </c>
      <c r="F55" s="31">
        <v>1.5781982458974699E-5</v>
      </c>
    </row>
    <row r="56" spans="1:6" ht="15" customHeight="1" x14ac:dyDescent="0.25">
      <c r="A56" s="6" t="s">
        <v>62</v>
      </c>
      <c r="B56" s="32">
        <v>1.9760790431617201E-2</v>
      </c>
      <c r="C56" s="32">
        <v>1.51679818551245E-2</v>
      </c>
      <c r="D56" s="32">
        <v>1.7300342510928199E-2</v>
      </c>
      <c r="E56" s="32">
        <v>1.22670183704045E-2</v>
      </c>
      <c r="F56" s="33">
        <v>2.1222361939584699E-4</v>
      </c>
    </row>
    <row r="57" spans="1:6" ht="15" customHeight="1" x14ac:dyDescent="0.25">
      <c r="A57" s="3" t="s">
        <v>63</v>
      </c>
      <c r="B57" s="30">
        <v>6.3742988271290203E-3</v>
      </c>
      <c r="C57" s="30">
        <v>1.84012908831379E-2</v>
      </c>
      <c r="D57" s="30">
        <v>3.9138509064400801E-3</v>
      </c>
      <c r="E57" s="30">
        <v>1.5500327398417901E-2</v>
      </c>
      <c r="F57" s="31">
        <v>6.06659704384158E-5</v>
      </c>
    </row>
    <row r="58" spans="1:6" ht="15" customHeight="1" x14ac:dyDescent="0.25">
      <c r="A58" s="6" t="s">
        <v>64</v>
      </c>
      <c r="B58" s="32">
        <v>6.08056751963525E-3</v>
      </c>
      <c r="C58" s="32">
        <v>9.2781620402815901E-3</v>
      </c>
      <c r="D58" s="32">
        <v>3.6201195989463198E-3</v>
      </c>
      <c r="E58" s="32">
        <v>6.3771985555616103E-3</v>
      </c>
      <c r="F58" s="33">
        <v>2.3086221477360701E-5</v>
      </c>
    </row>
    <row r="59" spans="1:6" ht="15" customHeight="1" x14ac:dyDescent="0.25">
      <c r="A59" s="3" t="s">
        <v>65</v>
      </c>
      <c r="B59" s="30">
        <v>9.4686476957944899E-3</v>
      </c>
      <c r="C59" s="30">
        <v>2.01518559330989E-2</v>
      </c>
      <c r="D59" s="30">
        <v>7.0081997751055497E-3</v>
      </c>
      <c r="E59" s="30">
        <v>1.72508924483789E-2</v>
      </c>
      <c r="F59" s="31">
        <v>1.20897700577099E-4</v>
      </c>
    </row>
    <row r="62" spans="1:6" ht="15" customHeight="1" x14ac:dyDescent="0.25">
      <c r="A62" s="27" t="s">
        <v>124</v>
      </c>
    </row>
    <row r="63" spans="1:6" ht="15" customHeight="1" x14ac:dyDescent="0.25">
      <c r="A63" s="2" t="s">
        <v>92</v>
      </c>
      <c r="B63" s="34">
        <v>1.2596149243770201E-4</v>
      </c>
      <c r="C63" s="2" t="s">
        <v>125</v>
      </c>
      <c r="D63" s="2" t="s">
        <v>93</v>
      </c>
    </row>
    <row r="64" spans="1:6" ht="15" customHeight="1" x14ac:dyDescent="0.25">
      <c r="A64" s="16" t="s">
        <v>126</v>
      </c>
      <c r="B64" s="33">
        <v>1.2596149243770201E-4</v>
      </c>
      <c r="C64" s="20" t="s">
        <v>127</v>
      </c>
    </row>
    <row r="65" spans="1:3" ht="15" customHeight="1" x14ac:dyDescent="0.25">
      <c r="A65" s="14" t="s">
        <v>128</v>
      </c>
      <c r="B65" s="35">
        <v>1.08595935565628E-2</v>
      </c>
      <c r="C65" s="19"/>
    </row>
    <row r="66" spans="1:3" ht="15" customHeight="1" x14ac:dyDescent="0.25">
      <c r="A66" s="16" t="s">
        <v>129</v>
      </c>
      <c r="B66" s="32">
        <v>1.7772887170696201E-2</v>
      </c>
      <c r="C66" s="20" t="s">
        <v>130</v>
      </c>
    </row>
    <row r="67" spans="1:3" ht="15" customHeight="1" x14ac:dyDescent="0.25">
      <c r="A67" s="14" t="s">
        <v>131</v>
      </c>
      <c r="B67" s="36">
        <v>0.65262881162915898</v>
      </c>
      <c r="C67" s="19" t="s">
        <v>132</v>
      </c>
    </row>
    <row r="68" spans="1:3" ht="15" customHeight="1" x14ac:dyDescent="0.25">
      <c r="A68" s="16" t="s">
        <v>133</v>
      </c>
      <c r="B68" s="37">
        <v>0.65262881162915898</v>
      </c>
      <c r="C68" s="20" t="s">
        <v>134</v>
      </c>
    </row>
    <row r="69" spans="1:3" ht="15" customHeight="1" x14ac:dyDescent="0.25">
      <c r="A69" s="14" t="s">
        <v>135</v>
      </c>
      <c r="B69" s="38">
        <f>CORREL(B3:B59,C3:C59)</f>
        <v>0.65262881162915931</v>
      </c>
      <c r="C69" s="19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Normal="100" workbookViewId="0">
      <selection sqref="A1:D1"/>
    </sheetView>
  </sheetViews>
  <sheetFormatPr defaultColWidth="8.7109375" defaultRowHeight="15" x14ac:dyDescent="0.25"/>
  <cols>
    <col min="1" max="1" width="32" style="1" customWidth="1"/>
    <col min="2" max="3" width="18" style="1" customWidth="1"/>
    <col min="4" max="4" width="45" style="1" customWidth="1"/>
  </cols>
  <sheetData>
    <row r="1" spans="1:4" ht="24" customHeight="1" x14ac:dyDescent="0.25">
      <c r="A1" s="47" t="s">
        <v>136</v>
      </c>
      <c r="B1" s="47"/>
      <c r="C1" s="47"/>
      <c r="D1" s="47"/>
    </row>
    <row r="2" spans="1:4" ht="15" customHeight="1" x14ac:dyDescent="0.25">
      <c r="A2" s="2" t="s">
        <v>92</v>
      </c>
      <c r="B2" s="2" t="s">
        <v>77</v>
      </c>
      <c r="C2" s="2" t="s">
        <v>78</v>
      </c>
      <c r="D2" s="2" t="s">
        <v>137</v>
      </c>
    </row>
    <row r="3" spans="1:4" ht="15" customHeight="1" x14ac:dyDescent="0.25">
      <c r="A3" s="39" t="s">
        <v>138</v>
      </c>
      <c r="B3" s="40">
        <v>5.2499999999999998E-2</v>
      </c>
      <c r="C3" s="40">
        <v>5.2499999999999998E-2</v>
      </c>
      <c r="D3" s="11" t="s">
        <v>139</v>
      </c>
    </row>
    <row r="4" spans="1:4" ht="15" customHeight="1" x14ac:dyDescent="0.25">
      <c r="A4" s="39" t="s">
        <v>140</v>
      </c>
      <c r="B4" s="41">
        <v>2.0833333333333299E-4</v>
      </c>
      <c r="C4" s="41">
        <v>2.0833333333333299E-4</v>
      </c>
      <c r="D4" s="11" t="s">
        <v>141</v>
      </c>
    </row>
    <row r="5" spans="1:4" ht="15" customHeight="1" x14ac:dyDescent="0.25">
      <c r="A5" s="14" t="s">
        <v>142</v>
      </c>
      <c r="B5" s="15">
        <v>2.4604479206889402E-3</v>
      </c>
      <c r="C5" s="15">
        <v>2.9009634847199802E-3</v>
      </c>
      <c r="D5" s="19" t="s">
        <v>143</v>
      </c>
    </row>
    <row r="6" spans="1:4" ht="15" customHeight="1" x14ac:dyDescent="0.25">
      <c r="A6" s="16" t="s">
        <v>144</v>
      </c>
      <c r="B6" s="17">
        <v>1.08595935565628E-2</v>
      </c>
      <c r="C6" s="17">
        <v>1.7772887170696201E-2</v>
      </c>
      <c r="D6" s="20" t="s">
        <v>145</v>
      </c>
    </row>
    <row r="7" spans="1:4" ht="15" customHeight="1" x14ac:dyDescent="0.25">
      <c r="A7" s="14" t="s">
        <v>146</v>
      </c>
      <c r="B7" s="42">
        <v>0.20738479535401899</v>
      </c>
      <c r="C7" s="42">
        <v>0.15150212374195601</v>
      </c>
      <c r="D7" s="19" t="s">
        <v>147</v>
      </c>
    </row>
    <row r="8" spans="1:4" ht="15" customHeight="1" x14ac:dyDescent="0.25">
      <c r="A8" s="16" t="s">
        <v>148</v>
      </c>
      <c r="B8" s="43">
        <v>3.2921315652165499</v>
      </c>
      <c r="C8" s="43">
        <v>2.4050216551161099</v>
      </c>
      <c r="D8" s="20" t="s">
        <v>149</v>
      </c>
    </row>
    <row r="10" spans="1:4" ht="15" customHeight="1" x14ac:dyDescent="0.25">
      <c r="A10" s="23" t="s">
        <v>150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Normal="100" workbookViewId="0"/>
  </sheetViews>
  <sheetFormatPr defaultColWidth="8.7109375" defaultRowHeight="15" x14ac:dyDescent="0.25"/>
  <cols>
    <col min="1" max="1" width="20" style="1" customWidth="1"/>
    <col min="2" max="2" width="55" style="1" customWidth="1"/>
    <col min="3" max="3" width="20" style="1" customWidth="1"/>
  </cols>
  <sheetData>
    <row r="1" spans="1:3" ht="24" customHeight="1" x14ac:dyDescent="0.25">
      <c r="A1" s="47" t="s">
        <v>151</v>
      </c>
      <c r="B1" s="47"/>
      <c r="C1" s="47"/>
    </row>
    <row r="2" spans="1:3" ht="15" customHeight="1" x14ac:dyDescent="0.25">
      <c r="A2" s="2" t="s">
        <v>92</v>
      </c>
      <c r="B2" s="2" t="s">
        <v>77</v>
      </c>
      <c r="C2" s="2" t="s">
        <v>78</v>
      </c>
    </row>
    <row r="3" spans="1:3" ht="15" customHeight="1" x14ac:dyDescent="0.25">
      <c r="A3" s="14" t="s">
        <v>152</v>
      </c>
      <c r="B3" s="44">
        <v>174.81</v>
      </c>
      <c r="C3" s="44">
        <v>578.09</v>
      </c>
    </row>
    <row r="4" spans="1:3" ht="15" customHeight="1" x14ac:dyDescent="0.25">
      <c r="A4" s="16" t="s">
        <v>153</v>
      </c>
      <c r="B4" s="7">
        <v>200.43</v>
      </c>
      <c r="C4" s="7">
        <v>675.82</v>
      </c>
    </row>
    <row r="5" spans="1:3" ht="15" customHeight="1" x14ac:dyDescent="0.25">
      <c r="A5" s="14" t="s">
        <v>154</v>
      </c>
      <c r="B5" s="45">
        <v>0.14655912133173199</v>
      </c>
      <c r="C5" s="45">
        <v>0.16905672127177401</v>
      </c>
    </row>
    <row r="6" spans="1:3" ht="15" customHeight="1" x14ac:dyDescent="0.25">
      <c r="A6" s="16" t="s">
        <v>142</v>
      </c>
      <c r="B6" s="46">
        <v>2.4604479206889402E-3</v>
      </c>
      <c r="C6" s="46">
        <v>2.9009634847199802E-3</v>
      </c>
    </row>
    <row r="7" spans="1:3" ht="15" customHeight="1" x14ac:dyDescent="0.25">
      <c r="A7" s="14" t="s">
        <v>155</v>
      </c>
      <c r="B7" s="45">
        <v>1.08595935565628E-2</v>
      </c>
      <c r="C7" s="45">
        <v>1.7772887170696201E-2</v>
      </c>
    </row>
    <row r="8" spans="1:3" ht="15" customHeight="1" x14ac:dyDescent="0.25">
      <c r="A8" s="16" t="s">
        <v>156</v>
      </c>
      <c r="B8" s="29">
        <v>4.4136652782807504</v>
      </c>
      <c r="C8" s="29">
        <v>6.12654632307851</v>
      </c>
    </row>
    <row r="9" spans="1:3" ht="15" customHeight="1" x14ac:dyDescent="0.25">
      <c r="A9" s="14" t="s">
        <v>157</v>
      </c>
      <c r="B9" s="22">
        <v>3.2921315652165499</v>
      </c>
      <c r="C9" s="22">
        <v>2.4050216551161099</v>
      </c>
    </row>
    <row r="10" spans="1:3" ht="15" customHeight="1" x14ac:dyDescent="0.25">
      <c r="A10" s="16" t="s">
        <v>158</v>
      </c>
      <c r="B10" s="29">
        <v>0.65262881162915898</v>
      </c>
      <c r="C10" s="11" t="s">
        <v>159</v>
      </c>
    </row>
    <row r="13" spans="1:3" ht="15" customHeight="1" x14ac:dyDescent="0.25">
      <c r="A13" s="49" t="s">
        <v>160</v>
      </c>
      <c r="B13" s="49"/>
      <c r="C13" s="49"/>
    </row>
    <row r="14" spans="1:3" ht="36" customHeight="1" x14ac:dyDescent="0.25">
      <c r="A14" s="48" t="s">
        <v>161</v>
      </c>
      <c r="B14" s="48"/>
      <c r="C14" s="48"/>
    </row>
    <row r="15" spans="1:3" ht="36" customHeight="1" x14ac:dyDescent="0.25">
      <c r="A15" s="48" t="s">
        <v>162</v>
      </c>
      <c r="B15" s="48"/>
      <c r="C15" s="48"/>
    </row>
    <row r="16" spans="1:3" ht="36" customHeight="1" x14ac:dyDescent="0.25">
      <c r="A16" s="48" t="s">
        <v>163</v>
      </c>
      <c r="B16" s="48"/>
      <c r="C16" s="48"/>
    </row>
    <row r="17" spans="1:3" ht="36" customHeight="1" x14ac:dyDescent="0.25">
      <c r="A17" s="48" t="s">
        <v>164</v>
      </c>
      <c r="B17" s="48"/>
      <c r="C17" s="48"/>
    </row>
    <row r="18" spans="1:3" ht="36" customHeight="1" x14ac:dyDescent="0.25">
      <c r="A18" s="48" t="s">
        <v>165</v>
      </c>
      <c r="B18" s="48"/>
      <c r="C18" s="48"/>
    </row>
    <row r="19" spans="1:3" ht="36" customHeight="1" x14ac:dyDescent="0.25">
      <c r="A19" s="48" t="s">
        <v>166</v>
      </c>
      <c r="B19" s="48"/>
      <c r="C19" s="48"/>
    </row>
    <row r="20" spans="1:3" ht="36" customHeight="1" x14ac:dyDescent="0.25">
      <c r="A20" s="48" t="s">
        <v>167</v>
      </c>
      <c r="B20" s="48"/>
      <c r="C20" s="48"/>
    </row>
    <row r="21" spans="1:3" ht="36" customHeight="1" x14ac:dyDescent="0.25">
      <c r="A21" s="48" t="s">
        <v>168</v>
      </c>
      <c r="B21" s="48"/>
      <c r="C21" s="48"/>
    </row>
  </sheetData>
  <mergeCells count="10">
    <mergeCell ref="A1:C1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zoomScaleNormal="100" workbookViewId="0"/>
  </sheetViews>
  <sheetFormatPr defaultColWidth="8.7109375" defaultRowHeight="15" x14ac:dyDescent="0.25"/>
  <sheetData>
    <row r="1" spans="1:12" ht="24" customHeight="1" x14ac:dyDescent="0.25">
      <c r="A1" s="47" t="s">
        <v>169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co1</vt:lpstr>
      <vt:lpstr>co2</vt:lpstr>
      <vt:lpstr>returns</vt:lpstr>
      <vt:lpstr>descr</vt:lpstr>
      <vt:lpstr>var dev</vt:lpstr>
      <vt:lpstr>cvar</vt:lpstr>
      <vt:lpstr>z outliers</vt:lpstr>
      <vt:lpstr>cov</vt:lpstr>
      <vt:lpstr>sharpe</vt:lpstr>
      <vt:lpstr>synopsis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4</cp:revision>
  <dcterms:created xsi:type="dcterms:W3CDTF">2026-03-11T11:57:35Z</dcterms:created>
  <dcterms:modified xsi:type="dcterms:W3CDTF">2026-03-11T13:37:57Z</dcterms:modified>
  <dc:language>en-US</dc:language>
</cp:coreProperties>
</file>